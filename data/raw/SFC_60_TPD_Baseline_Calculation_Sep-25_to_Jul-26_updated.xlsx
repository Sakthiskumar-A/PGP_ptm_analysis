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pgpfirst-my.sharepoint.com/personal/rahul_dutt_pgpfirst_com/Documents/Desktop/WORK/DnA/AI/AI - Manufacturing - Cantier ML/"/>
    </mc:Choice>
  </mc:AlternateContent>
  <xr:revisionPtr revIDLastSave="367" documentId="13_ncr:1_{EBAF6146-9708-445A-989B-94ABDBF0D50F}" xr6:coauthVersionLast="47" xr6:coauthVersionMax="47" xr10:uidLastSave="{024BAEFF-E461-4A48-8183-090AE5019C35}"/>
  <bookViews>
    <workbookView xWindow="-110" yWindow="-110" windowWidth="19420" windowHeight="11500" firstSheet="2" activeTab="1" xr2:uid="{8009142C-4542-44BC-AAA1-CE1DA37C41A6}"/>
  </bookViews>
  <sheets>
    <sheet name="Cover" sheetId="8" r:id="rId1"/>
    <sheet name="Master Data- Energy &amp; SFC Calc" sheetId="1" r:id="rId2"/>
    <sheet name="SFC Executive" sheetId="7" r:id="rId3"/>
    <sheet name="Draw Data" sheetId="2" r:id="rId4"/>
    <sheet name="Draw Bucket Analysis" sheetId="5" r:id="rId5"/>
    <sheet name="Daily Variation Analysis" sheetId="6" r:id="rId6"/>
    <sheet name="Energy Data &amp; SFC Calc (2)" sheetId="4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1" l="1"/>
  <c r="B15" i="5"/>
  <c r="N33" i="7"/>
  <c r="I33" i="7"/>
  <c r="G33" i="7"/>
  <c r="B5" i="7"/>
  <c r="B8" i="6"/>
  <c r="E278" i="6" s="1"/>
  <c r="B9" i="6"/>
  <c r="F338" i="6" s="1"/>
  <c r="B10" i="6"/>
  <c r="G313" i="6" s="1"/>
  <c r="F300" i="6"/>
  <c r="F294" i="6"/>
  <c r="E290" i="6"/>
  <c r="G277" i="6"/>
  <c r="F228" i="6"/>
  <c r="G221" i="6"/>
  <c r="E218" i="6"/>
  <c r="G205" i="6"/>
  <c r="G133" i="6"/>
  <c r="F120" i="6"/>
  <c r="G113" i="6"/>
  <c r="G97" i="6"/>
  <c r="D346" i="6"/>
  <c r="C346" i="6"/>
  <c r="F346" i="6" s="1"/>
  <c r="B346" i="6"/>
  <c r="A346" i="6"/>
  <c r="D345" i="6"/>
  <c r="G345" i="6" s="1"/>
  <c r="C345" i="6"/>
  <c r="B345" i="6"/>
  <c r="A345" i="6"/>
  <c r="D344" i="6"/>
  <c r="C344" i="6"/>
  <c r="B344" i="6"/>
  <c r="A344" i="6"/>
  <c r="D343" i="6"/>
  <c r="C343" i="6"/>
  <c r="F343" i="6" s="1"/>
  <c r="B343" i="6"/>
  <c r="A343" i="6"/>
  <c r="D342" i="6"/>
  <c r="G342" i="6" s="1"/>
  <c r="C342" i="6"/>
  <c r="B342" i="6"/>
  <c r="A342" i="6"/>
  <c r="D341" i="6"/>
  <c r="C341" i="6"/>
  <c r="B341" i="6"/>
  <c r="A341" i="6"/>
  <c r="D340" i="6"/>
  <c r="C340" i="6"/>
  <c r="F340" i="6" s="1"/>
  <c r="B340" i="6"/>
  <c r="A340" i="6"/>
  <c r="D339" i="6"/>
  <c r="G339" i="6" s="1"/>
  <c r="C339" i="6"/>
  <c r="B339" i="6"/>
  <c r="A339" i="6"/>
  <c r="D338" i="6"/>
  <c r="C338" i="6"/>
  <c r="B338" i="6"/>
  <c r="A338" i="6"/>
  <c r="D337" i="6"/>
  <c r="C337" i="6"/>
  <c r="F337" i="6" s="1"/>
  <c r="B337" i="6"/>
  <c r="E337" i="6" s="1"/>
  <c r="A337" i="6"/>
  <c r="D336" i="6"/>
  <c r="G336" i="6" s="1"/>
  <c r="C336" i="6"/>
  <c r="B336" i="6"/>
  <c r="A336" i="6"/>
  <c r="D335" i="6"/>
  <c r="C335" i="6"/>
  <c r="B335" i="6"/>
  <c r="A335" i="6"/>
  <c r="D334" i="6"/>
  <c r="C334" i="6"/>
  <c r="F334" i="6" s="1"/>
  <c r="B334" i="6"/>
  <c r="E334" i="6" s="1"/>
  <c r="A334" i="6"/>
  <c r="D333" i="6"/>
  <c r="G333" i="6" s="1"/>
  <c r="C333" i="6"/>
  <c r="F333" i="6" s="1"/>
  <c r="B333" i="6"/>
  <c r="A333" i="6"/>
  <c r="D332" i="6"/>
  <c r="C332" i="6"/>
  <c r="B332" i="6"/>
  <c r="A332" i="6"/>
  <c r="D331" i="6"/>
  <c r="C331" i="6"/>
  <c r="F331" i="6" s="1"/>
  <c r="B331" i="6"/>
  <c r="E331" i="6" s="1"/>
  <c r="A331" i="6"/>
  <c r="D330" i="6"/>
  <c r="G330" i="6" s="1"/>
  <c r="C330" i="6"/>
  <c r="F330" i="6" s="1"/>
  <c r="B330" i="6"/>
  <c r="A330" i="6"/>
  <c r="D329" i="6"/>
  <c r="G329" i="6" s="1"/>
  <c r="C329" i="6"/>
  <c r="B329" i="6"/>
  <c r="A329" i="6"/>
  <c r="D328" i="6"/>
  <c r="C328" i="6"/>
  <c r="F328" i="6" s="1"/>
  <c r="B328" i="6"/>
  <c r="E328" i="6" s="1"/>
  <c r="A328" i="6"/>
  <c r="D327" i="6"/>
  <c r="G327" i="6" s="1"/>
  <c r="C327" i="6"/>
  <c r="F327" i="6" s="1"/>
  <c r="B327" i="6"/>
  <c r="A327" i="6"/>
  <c r="D326" i="6"/>
  <c r="C326" i="6"/>
  <c r="B326" i="6"/>
  <c r="E326" i="6" s="1"/>
  <c r="A326" i="6"/>
  <c r="D325" i="6"/>
  <c r="C325" i="6"/>
  <c r="F325" i="6" s="1"/>
  <c r="B325" i="6"/>
  <c r="E325" i="6" s="1"/>
  <c r="A325" i="6"/>
  <c r="D324" i="6"/>
  <c r="G324" i="6" s="1"/>
  <c r="C324" i="6"/>
  <c r="F324" i="6" s="1"/>
  <c r="B324" i="6"/>
  <c r="A324" i="6"/>
  <c r="D323" i="6"/>
  <c r="C323" i="6"/>
  <c r="B323" i="6"/>
  <c r="A323" i="6"/>
  <c r="D322" i="6"/>
  <c r="C322" i="6"/>
  <c r="F322" i="6" s="1"/>
  <c r="B322" i="6"/>
  <c r="E322" i="6" s="1"/>
  <c r="A322" i="6"/>
  <c r="D321" i="6"/>
  <c r="G321" i="6" s="1"/>
  <c r="C321" i="6"/>
  <c r="F321" i="6" s="1"/>
  <c r="B321" i="6"/>
  <c r="A321" i="6"/>
  <c r="D320" i="6"/>
  <c r="C320" i="6"/>
  <c r="B320" i="6"/>
  <c r="A320" i="6"/>
  <c r="D319" i="6"/>
  <c r="C319" i="6"/>
  <c r="F319" i="6" s="1"/>
  <c r="B319" i="6"/>
  <c r="E319" i="6" s="1"/>
  <c r="A319" i="6"/>
  <c r="D318" i="6"/>
  <c r="G318" i="6" s="1"/>
  <c r="C318" i="6"/>
  <c r="F318" i="6" s="1"/>
  <c r="B318" i="6"/>
  <c r="A318" i="6"/>
  <c r="D317" i="6"/>
  <c r="C317" i="6"/>
  <c r="B317" i="6"/>
  <c r="A317" i="6"/>
  <c r="D316" i="6"/>
  <c r="C316" i="6"/>
  <c r="F316" i="6" s="1"/>
  <c r="B316" i="6"/>
  <c r="E316" i="6" s="1"/>
  <c r="A316" i="6"/>
  <c r="D315" i="6"/>
  <c r="G315" i="6" s="1"/>
  <c r="C315" i="6"/>
  <c r="F315" i="6" s="1"/>
  <c r="B315" i="6"/>
  <c r="A315" i="6"/>
  <c r="D314" i="6"/>
  <c r="C314" i="6"/>
  <c r="B314" i="6"/>
  <c r="E314" i="6" s="1"/>
  <c r="A314" i="6"/>
  <c r="D313" i="6"/>
  <c r="C313" i="6"/>
  <c r="F313" i="6" s="1"/>
  <c r="B313" i="6"/>
  <c r="E313" i="6" s="1"/>
  <c r="A313" i="6"/>
  <c r="D312" i="6"/>
  <c r="G312" i="6" s="1"/>
  <c r="C312" i="6"/>
  <c r="F312" i="6" s="1"/>
  <c r="B312" i="6"/>
  <c r="A312" i="6"/>
  <c r="D311" i="6"/>
  <c r="C311" i="6"/>
  <c r="B311" i="6"/>
  <c r="A311" i="6"/>
  <c r="D310" i="6"/>
  <c r="C310" i="6"/>
  <c r="F310" i="6" s="1"/>
  <c r="B310" i="6"/>
  <c r="E310" i="6" s="1"/>
  <c r="A310" i="6"/>
  <c r="D309" i="6"/>
  <c r="G309" i="6" s="1"/>
  <c r="C309" i="6"/>
  <c r="F309" i="6" s="1"/>
  <c r="B309" i="6"/>
  <c r="A309" i="6"/>
  <c r="D308" i="6"/>
  <c r="C308" i="6"/>
  <c r="B308" i="6"/>
  <c r="A308" i="6"/>
  <c r="D307" i="6"/>
  <c r="C307" i="6"/>
  <c r="F307" i="6" s="1"/>
  <c r="B307" i="6"/>
  <c r="E307" i="6" s="1"/>
  <c r="A307" i="6"/>
  <c r="D306" i="6"/>
  <c r="G306" i="6" s="1"/>
  <c r="C306" i="6"/>
  <c r="F306" i="6" s="1"/>
  <c r="B306" i="6"/>
  <c r="A306" i="6"/>
  <c r="D305" i="6"/>
  <c r="C305" i="6"/>
  <c r="B305" i="6"/>
  <c r="A305" i="6"/>
  <c r="D304" i="6"/>
  <c r="C304" i="6"/>
  <c r="F304" i="6" s="1"/>
  <c r="B304" i="6"/>
  <c r="E304" i="6" s="1"/>
  <c r="A304" i="6"/>
  <c r="D303" i="6"/>
  <c r="G303" i="6" s="1"/>
  <c r="C303" i="6"/>
  <c r="F303" i="6" s="1"/>
  <c r="B303" i="6"/>
  <c r="A303" i="6"/>
  <c r="D302" i="6"/>
  <c r="C302" i="6"/>
  <c r="B302" i="6"/>
  <c r="A302" i="6"/>
  <c r="D301" i="6"/>
  <c r="C301" i="6"/>
  <c r="F301" i="6" s="1"/>
  <c r="B301" i="6"/>
  <c r="E301" i="6" s="1"/>
  <c r="A301" i="6"/>
  <c r="D300" i="6"/>
  <c r="G300" i="6" s="1"/>
  <c r="C300" i="6"/>
  <c r="B300" i="6"/>
  <c r="A300" i="6"/>
  <c r="D299" i="6"/>
  <c r="C299" i="6"/>
  <c r="B299" i="6"/>
  <c r="A299" i="6"/>
  <c r="D298" i="6"/>
  <c r="C298" i="6"/>
  <c r="F298" i="6" s="1"/>
  <c r="B298" i="6"/>
  <c r="E298" i="6" s="1"/>
  <c r="A298" i="6"/>
  <c r="D297" i="6"/>
  <c r="G297" i="6" s="1"/>
  <c r="C297" i="6"/>
  <c r="F297" i="6" s="1"/>
  <c r="B297" i="6"/>
  <c r="A297" i="6"/>
  <c r="D296" i="6"/>
  <c r="C296" i="6"/>
  <c r="B296" i="6"/>
  <c r="A296" i="6"/>
  <c r="D295" i="6"/>
  <c r="C295" i="6"/>
  <c r="F295" i="6" s="1"/>
  <c r="B295" i="6"/>
  <c r="E295" i="6" s="1"/>
  <c r="A295" i="6"/>
  <c r="D294" i="6"/>
  <c r="G294" i="6" s="1"/>
  <c r="C294" i="6"/>
  <c r="B294" i="6"/>
  <c r="A294" i="6"/>
  <c r="D293" i="6"/>
  <c r="C293" i="6"/>
  <c r="B293" i="6"/>
  <c r="A293" i="6"/>
  <c r="D292" i="6"/>
  <c r="C292" i="6"/>
  <c r="F292" i="6" s="1"/>
  <c r="B292" i="6"/>
  <c r="E292" i="6" s="1"/>
  <c r="A292" i="6"/>
  <c r="D291" i="6"/>
  <c r="G291" i="6" s="1"/>
  <c r="C291" i="6"/>
  <c r="F291" i="6" s="1"/>
  <c r="B291" i="6"/>
  <c r="A291" i="6"/>
  <c r="D290" i="6"/>
  <c r="C290" i="6"/>
  <c r="B290" i="6"/>
  <c r="A290" i="6"/>
  <c r="D289" i="6"/>
  <c r="C289" i="6"/>
  <c r="F289" i="6" s="1"/>
  <c r="B289" i="6"/>
  <c r="E289" i="6" s="1"/>
  <c r="A289" i="6"/>
  <c r="D288" i="6"/>
  <c r="G288" i="6" s="1"/>
  <c r="C288" i="6"/>
  <c r="F288" i="6" s="1"/>
  <c r="B288" i="6"/>
  <c r="A288" i="6"/>
  <c r="D287" i="6"/>
  <c r="C287" i="6"/>
  <c r="B287" i="6"/>
  <c r="A287" i="6"/>
  <c r="D286" i="6"/>
  <c r="C286" i="6"/>
  <c r="F286" i="6" s="1"/>
  <c r="B286" i="6"/>
  <c r="E286" i="6" s="1"/>
  <c r="A286" i="6"/>
  <c r="D285" i="6"/>
  <c r="G285" i="6" s="1"/>
  <c r="C285" i="6"/>
  <c r="F285" i="6" s="1"/>
  <c r="B285" i="6"/>
  <c r="A285" i="6"/>
  <c r="D284" i="6"/>
  <c r="C284" i="6"/>
  <c r="B284" i="6"/>
  <c r="A284" i="6"/>
  <c r="D283" i="6"/>
  <c r="C283" i="6"/>
  <c r="F283" i="6" s="1"/>
  <c r="B283" i="6"/>
  <c r="E283" i="6" s="1"/>
  <c r="A283" i="6"/>
  <c r="D282" i="6"/>
  <c r="G282" i="6" s="1"/>
  <c r="C282" i="6"/>
  <c r="F282" i="6" s="1"/>
  <c r="B282" i="6"/>
  <c r="A282" i="6"/>
  <c r="D281" i="6"/>
  <c r="C281" i="6"/>
  <c r="B281" i="6"/>
  <c r="A281" i="6"/>
  <c r="D280" i="6"/>
  <c r="C280" i="6"/>
  <c r="F280" i="6" s="1"/>
  <c r="B280" i="6"/>
  <c r="E280" i="6" s="1"/>
  <c r="A280" i="6"/>
  <c r="D279" i="6"/>
  <c r="G279" i="6" s="1"/>
  <c r="C279" i="6"/>
  <c r="F279" i="6" s="1"/>
  <c r="B279" i="6"/>
  <c r="A279" i="6"/>
  <c r="D278" i="6"/>
  <c r="C278" i="6"/>
  <c r="B278" i="6"/>
  <c r="A278" i="6"/>
  <c r="D277" i="6"/>
  <c r="C277" i="6"/>
  <c r="F277" i="6" s="1"/>
  <c r="B277" i="6"/>
  <c r="E277" i="6" s="1"/>
  <c r="A277" i="6"/>
  <c r="D276" i="6"/>
  <c r="G276" i="6" s="1"/>
  <c r="C276" i="6"/>
  <c r="F276" i="6" s="1"/>
  <c r="B276" i="6"/>
  <c r="A276" i="6"/>
  <c r="D275" i="6"/>
  <c r="C275" i="6"/>
  <c r="B275" i="6"/>
  <c r="A275" i="6"/>
  <c r="D274" i="6"/>
  <c r="C274" i="6"/>
  <c r="F274" i="6" s="1"/>
  <c r="B274" i="6"/>
  <c r="E274" i="6" s="1"/>
  <c r="A274" i="6"/>
  <c r="D273" i="6"/>
  <c r="G273" i="6" s="1"/>
  <c r="C273" i="6"/>
  <c r="F273" i="6" s="1"/>
  <c r="B273" i="6"/>
  <c r="A273" i="6"/>
  <c r="D272" i="6"/>
  <c r="C272" i="6"/>
  <c r="B272" i="6"/>
  <c r="A272" i="6"/>
  <c r="D271" i="6"/>
  <c r="C271" i="6"/>
  <c r="F271" i="6" s="1"/>
  <c r="B271" i="6"/>
  <c r="E271" i="6" s="1"/>
  <c r="A271" i="6"/>
  <c r="D270" i="6"/>
  <c r="G270" i="6" s="1"/>
  <c r="C270" i="6"/>
  <c r="F270" i="6" s="1"/>
  <c r="B270" i="6"/>
  <c r="A270" i="6"/>
  <c r="D269" i="6"/>
  <c r="C269" i="6"/>
  <c r="B269" i="6"/>
  <c r="A269" i="6"/>
  <c r="D268" i="6"/>
  <c r="C268" i="6"/>
  <c r="F268" i="6" s="1"/>
  <c r="B268" i="6"/>
  <c r="E268" i="6" s="1"/>
  <c r="A268" i="6"/>
  <c r="D267" i="6"/>
  <c r="G267" i="6" s="1"/>
  <c r="C267" i="6"/>
  <c r="F267" i="6" s="1"/>
  <c r="B267" i="6"/>
  <c r="A267" i="6"/>
  <c r="D266" i="6"/>
  <c r="C266" i="6"/>
  <c r="B266" i="6"/>
  <c r="A266" i="6"/>
  <c r="D265" i="6"/>
  <c r="C265" i="6"/>
  <c r="F265" i="6" s="1"/>
  <c r="B265" i="6"/>
  <c r="E265" i="6" s="1"/>
  <c r="A265" i="6"/>
  <c r="D264" i="6"/>
  <c r="G264" i="6" s="1"/>
  <c r="C264" i="6"/>
  <c r="F264" i="6" s="1"/>
  <c r="B264" i="6"/>
  <c r="A264" i="6"/>
  <c r="D263" i="6"/>
  <c r="C263" i="6"/>
  <c r="B263" i="6"/>
  <c r="A263" i="6"/>
  <c r="D262" i="6"/>
  <c r="C262" i="6"/>
  <c r="F262" i="6" s="1"/>
  <c r="B262" i="6"/>
  <c r="E262" i="6" s="1"/>
  <c r="A262" i="6"/>
  <c r="D261" i="6"/>
  <c r="G261" i="6" s="1"/>
  <c r="C261" i="6"/>
  <c r="F261" i="6" s="1"/>
  <c r="B261" i="6"/>
  <c r="A261" i="6"/>
  <c r="D260" i="6"/>
  <c r="C260" i="6"/>
  <c r="B260" i="6"/>
  <c r="A260" i="6"/>
  <c r="D259" i="6"/>
  <c r="C259" i="6"/>
  <c r="F259" i="6" s="1"/>
  <c r="B259" i="6"/>
  <c r="E259" i="6" s="1"/>
  <c r="A259" i="6"/>
  <c r="D258" i="6"/>
  <c r="G258" i="6" s="1"/>
  <c r="C258" i="6"/>
  <c r="F258" i="6" s="1"/>
  <c r="B258" i="6"/>
  <c r="A258" i="6"/>
  <c r="D257" i="6"/>
  <c r="G257" i="6" s="1"/>
  <c r="C257" i="6"/>
  <c r="B257" i="6"/>
  <c r="A257" i="6"/>
  <c r="D256" i="6"/>
  <c r="C256" i="6"/>
  <c r="F256" i="6" s="1"/>
  <c r="B256" i="6"/>
  <c r="E256" i="6" s="1"/>
  <c r="A256" i="6"/>
  <c r="D255" i="6"/>
  <c r="G255" i="6" s="1"/>
  <c r="C255" i="6"/>
  <c r="F255" i="6" s="1"/>
  <c r="B255" i="6"/>
  <c r="A255" i="6"/>
  <c r="D254" i="6"/>
  <c r="C254" i="6"/>
  <c r="B254" i="6"/>
  <c r="E254" i="6" s="1"/>
  <c r="A254" i="6"/>
  <c r="D253" i="6"/>
  <c r="C253" i="6"/>
  <c r="F253" i="6" s="1"/>
  <c r="B253" i="6"/>
  <c r="E253" i="6" s="1"/>
  <c r="A253" i="6"/>
  <c r="D252" i="6"/>
  <c r="G252" i="6" s="1"/>
  <c r="C252" i="6"/>
  <c r="F252" i="6" s="1"/>
  <c r="B252" i="6"/>
  <c r="A252" i="6"/>
  <c r="D251" i="6"/>
  <c r="C251" i="6"/>
  <c r="B251" i="6"/>
  <c r="A251" i="6"/>
  <c r="D250" i="6"/>
  <c r="C250" i="6"/>
  <c r="F250" i="6" s="1"/>
  <c r="B250" i="6"/>
  <c r="E250" i="6" s="1"/>
  <c r="A250" i="6"/>
  <c r="D249" i="6"/>
  <c r="G249" i="6" s="1"/>
  <c r="C249" i="6"/>
  <c r="F249" i="6" s="1"/>
  <c r="B249" i="6"/>
  <c r="A249" i="6"/>
  <c r="D248" i="6"/>
  <c r="C248" i="6"/>
  <c r="B248" i="6"/>
  <c r="A248" i="6"/>
  <c r="D247" i="6"/>
  <c r="C247" i="6"/>
  <c r="F247" i="6" s="1"/>
  <c r="B247" i="6"/>
  <c r="E247" i="6" s="1"/>
  <c r="A247" i="6"/>
  <c r="D246" i="6"/>
  <c r="G246" i="6" s="1"/>
  <c r="C246" i="6"/>
  <c r="F246" i="6" s="1"/>
  <c r="B246" i="6"/>
  <c r="A246" i="6"/>
  <c r="D245" i="6"/>
  <c r="C245" i="6"/>
  <c r="B245" i="6"/>
  <c r="A245" i="6"/>
  <c r="D244" i="6"/>
  <c r="C244" i="6"/>
  <c r="F244" i="6" s="1"/>
  <c r="B244" i="6"/>
  <c r="E244" i="6" s="1"/>
  <c r="A244" i="6"/>
  <c r="D243" i="6"/>
  <c r="G243" i="6" s="1"/>
  <c r="C243" i="6"/>
  <c r="F243" i="6" s="1"/>
  <c r="B243" i="6"/>
  <c r="A243" i="6"/>
  <c r="D242" i="6"/>
  <c r="C242" i="6"/>
  <c r="B242" i="6"/>
  <c r="E242" i="6" s="1"/>
  <c r="A242" i="6"/>
  <c r="D241" i="6"/>
  <c r="G241" i="6" s="1"/>
  <c r="C241" i="6"/>
  <c r="F241" i="6" s="1"/>
  <c r="B241" i="6"/>
  <c r="E241" i="6" s="1"/>
  <c r="A241" i="6"/>
  <c r="D240" i="6"/>
  <c r="G240" i="6" s="1"/>
  <c r="C240" i="6"/>
  <c r="F240" i="6" s="1"/>
  <c r="B240" i="6"/>
  <c r="A240" i="6"/>
  <c r="D239" i="6"/>
  <c r="C239" i="6"/>
  <c r="B239" i="6"/>
  <c r="A239" i="6"/>
  <c r="D238" i="6"/>
  <c r="C238" i="6"/>
  <c r="F238" i="6" s="1"/>
  <c r="B238" i="6"/>
  <c r="E238" i="6" s="1"/>
  <c r="A238" i="6"/>
  <c r="D237" i="6"/>
  <c r="G237" i="6" s="1"/>
  <c r="C237" i="6"/>
  <c r="F237" i="6" s="1"/>
  <c r="B237" i="6"/>
  <c r="A237" i="6"/>
  <c r="D236" i="6"/>
  <c r="C236" i="6"/>
  <c r="B236" i="6"/>
  <c r="A236" i="6"/>
  <c r="D235" i="6"/>
  <c r="C235" i="6"/>
  <c r="F235" i="6" s="1"/>
  <c r="B235" i="6"/>
  <c r="E235" i="6" s="1"/>
  <c r="A235" i="6"/>
  <c r="D234" i="6"/>
  <c r="G234" i="6" s="1"/>
  <c r="C234" i="6"/>
  <c r="F234" i="6" s="1"/>
  <c r="B234" i="6"/>
  <c r="A234" i="6"/>
  <c r="D233" i="6"/>
  <c r="C233" i="6"/>
  <c r="B233" i="6"/>
  <c r="A233" i="6"/>
  <c r="D232" i="6"/>
  <c r="C232" i="6"/>
  <c r="F232" i="6" s="1"/>
  <c r="B232" i="6"/>
  <c r="E232" i="6" s="1"/>
  <c r="A232" i="6"/>
  <c r="D231" i="6"/>
  <c r="G231" i="6" s="1"/>
  <c r="C231" i="6"/>
  <c r="F231" i="6" s="1"/>
  <c r="B231" i="6"/>
  <c r="A231" i="6"/>
  <c r="D230" i="6"/>
  <c r="C230" i="6"/>
  <c r="B230" i="6"/>
  <c r="A230" i="6"/>
  <c r="D229" i="6"/>
  <c r="C229" i="6"/>
  <c r="F229" i="6" s="1"/>
  <c r="B229" i="6"/>
  <c r="E229" i="6" s="1"/>
  <c r="A229" i="6"/>
  <c r="D228" i="6"/>
  <c r="G228" i="6" s="1"/>
  <c r="C228" i="6"/>
  <c r="B228" i="6"/>
  <c r="A228" i="6"/>
  <c r="D227" i="6"/>
  <c r="C227" i="6"/>
  <c r="B227" i="6"/>
  <c r="A227" i="6"/>
  <c r="D226" i="6"/>
  <c r="C226" i="6"/>
  <c r="F226" i="6" s="1"/>
  <c r="B226" i="6"/>
  <c r="E226" i="6" s="1"/>
  <c r="A226" i="6"/>
  <c r="D225" i="6"/>
  <c r="G225" i="6" s="1"/>
  <c r="C225" i="6"/>
  <c r="F225" i="6" s="1"/>
  <c r="B225" i="6"/>
  <c r="A225" i="6"/>
  <c r="D224" i="6"/>
  <c r="C224" i="6"/>
  <c r="B224" i="6"/>
  <c r="A224" i="6"/>
  <c r="D223" i="6"/>
  <c r="C223" i="6"/>
  <c r="F223" i="6" s="1"/>
  <c r="B223" i="6"/>
  <c r="E223" i="6" s="1"/>
  <c r="A223" i="6"/>
  <c r="D222" i="6"/>
  <c r="G222" i="6" s="1"/>
  <c r="C222" i="6"/>
  <c r="F222" i="6" s="1"/>
  <c r="B222" i="6"/>
  <c r="A222" i="6"/>
  <c r="D221" i="6"/>
  <c r="C221" i="6"/>
  <c r="B221" i="6"/>
  <c r="A221" i="6"/>
  <c r="D220" i="6"/>
  <c r="C220" i="6"/>
  <c r="F220" i="6" s="1"/>
  <c r="B220" i="6"/>
  <c r="E220" i="6" s="1"/>
  <c r="A220" i="6"/>
  <c r="D219" i="6"/>
  <c r="G219" i="6" s="1"/>
  <c r="C219" i="6"/>
  <c r="F219" i="6" s="1"/>
  <c r="B219" i="6"/>
  <c r="A219" i="6"/>
  <c r="D218" i="6"/>
  <c r="C218" i="6"/>
  <c r="B218" i="6"/>
  <c r="A218" i="6"/>
  <c r="D217" i="6"/>
  <c r="C217" i="6"/>
  <c r="F217" i="6" s="1"/>
  <c r="B217" i="6"/>
  <c r="E217" i="6" s="1"/>
  <c r="A217" i="6"/>
  <c r="D216" i="6"/>
  <c r="G216" i="6" s="1"/>
  <c r="C216" i="6"/>
  <c r="F216" i="6" s="1"/>
  <c r="B216" i="6"/>
  <c r="A216" i="6"/>
  <c r="D215" i="6"/>
  <c r="C215" i="6"/>
  <c r="B215" i="6"/>
  <c r="A215" i="6"/>
  <c r="D214" i="6"/>
  <c r="C214" i="6"/>
  <c r="F214" i="6" s="1"/>
  <c r="B214" i="6"/>
  <c r="E214" i="6" s="1"/>
  <c r="A214" i="6"/>
  <c r="D213" i="6"/>
  <c r="G213" i="6" s="1"/>
  <c r="C213" i="6"/>
  <c r="F213" i="6" s="1"/>
  <c r="B213" i="6"/>
  <c r="A213" i="6"/>
  <c r="D212" i="6"/>
  <c r="C212" i="6"/>
  <c r="B212" i="6"/>
  <c r="A212" i="6"/>
  <c r="D211" i="6"/>
  <c r="C211" i="6"/>
  <c r="F211" i="6" s="1"/>
  <c r="B211" i="6"/>
  <c r="E211" i="6" s="1"/>
  <c r="A211" i="6"/>
  <c r="D210" i="6"/>
  <c r="G210" i="6" s="1"/>
  <c r="C210" i="6"/>
  <c r="F210" i="6" s="1"/>
  <c r="B210" i="6"/>
  <c r="A210" i="6"/>
  <c r="D209" i="6"/>
  <c r="C209" i="6"/>
  <c r="B209" i="6"/>
  <c r="A209" i="6"/>
  <c r="D208" i="6"/>
  <c r="C208" i="6"/>
  <c r="F208" i="6" s="1"/>
  <c r="B208" i="6"/>
  <c r="E208" i="6" s="1"/>
  <c r="A208" i="6"/>
  <c r="D207" i="6"/>
  <c r="G207" i="6" s="1"/>
  <c r="C207" i="6"/>
  <c r="F207" i="6" s="1"/>
  <c r="B207" i="6"/>
  <c r="A207" i="6"/>
  <c r="D206" i="6"/>
  <c r="C206" i="6"/>
  <c r="B206" i="6"/>
  <c r="A206" i="6"/>
  <c r="D205" i="6"/>
  <c r="C205" i="6"/>
  <c r="F205" i="6" s="1"/>
  <c r="B205" i="6"/>
  <c r="E205" i="6" s="1"/>
  <c r="A205" i="6"/>
  <c r="D204" i="6"/>
  <c r="G204" i="6" s="1"/>
  <c r="C204" i="6"/>
  <c r="F204" i="6" s="1"/>
  <c r="B204" i="6"/>
  <c r="A204" i="6"/>
  <c r="D203" i="6"/>
  <c r="C203" i="6"/>
  <c r="B203" i="6"/>
  <c r="A203" i="6"/>
  <c r="D202" i="6"/>
  <c r="C202" i="6"/>
  <c r="F202" i="6" s="1"/>
  <c r="B202" i="6"/>
  <c r="E202" i="6" s="1"/>
  <c r="A202" i="6"/>
  <c r="D201" i="6"/>
  <c r="G201" i="6" s="1"/>
  <c r="C201" i="6"/>
  <c r="F201" i="6" s="1"/>
  <c r="B201" i="6"/>
  <c r="A201" i="6"/>
  <c r="D200" i="6"/>
  <c r="C200" i="6"/>
  <c r="B200" i="6"/>
  <c r="A200" i="6"/>
  <c r="D199" i="6"/>
  <c r="C199" i="6"/>
  <c r="F199" i="6" s="1"/>
  <c r="B199" i="6"/>
  <c r="E199" i="6" s="1"/>
  <c r="A199" i="6"/>
  <c r="D198" i="6"/>
  <c r="G198" i="6" s="1"/>
  <c r="C198" i="6"/>
  <c r="F198" i="6" s="1"/>
  <c r="B198" i="6"/>
  <c r="E198" i="6" s="1"/>
  <c r="A198" i="6"/>
  <c r="D197" i="6"/>
  <c r="C197" i="6"/>
  <c r="B197" i="6"/>
  <c r="A197" i="6"/>
  <c r="D196" i="6"/>
  <c r="C196" i="6"/>
  <c r="F196" i="6" s="1"/>
  <c r="B196" i="6"/>
  <c r="E196" i="6" s="1"/>
  <c r="A196" i="6"/>
  <c r="D195" i="6"/>
  <c r="G195" i="6" s="1"/>
  <c r="C195" i="6"/>
  <c r="F195" i="6" s="1"/>
  <c r="B195" i="6"/>
  <c r="E195" i="6" s="1"/>
  <c r="A195" i="6"/>
  <c r="D194" i="6"/>
  <c r="C194" i="6"/>
  <c r="B194" i="6"/>
  <c r="A194" i="6"/>
  <c r="D193" i="6"/>
  <c r="C193" i="6"/>
  <c r="F193" i="6" s="1"/>
  <c r="B193" i="6"/>
  <c r="E193" i="6" s="1"/>
  <c r="A193" i="6"/>
  <c r="D192" i="6"/>
  <c r="G192" i="6" s="1"/>
  <c r="C192" i="6"/>
  <c r="F192" i="6" s="1"/>
  <c r="B192" i="6"/>
  <c r="E192" i="6" s="1"/>
  <c r="A192" i="6"/>
  <c r="D191" i="6"/>
  <c r="C191" i="6"/>
  <c r="B191" i="6"/>
  <c r="A191" i="6"/>
  <c r="D190" i="6"/>
  <c r="C190" i="6"/>
  <c r="F190" i="6" s="1"/>
  <c r="B190" i="6"/>
  <c r="E190" i="6" s="1"/>
  <c r="A190" i="6"/>
  <c r="D189" i="6"/>
  <c r="G189" i="6" s="1"/>
  <c r="C189" i="6"/>
  <c r="F189" i="6" s="1"/>
  <c r="B189" i="6"/>
  <c r="E189" i="6" s="1"/>
  <c r="A189" i="6"/>
  <c r="D188" i="6"/>
  <c r="C188" i="6"/>
  <c r="B188" i="6"/>
  <c r="A188" i="6"/>
  <c r="D187" i="6"/>
  <c r="C187" i="6"/>
  <c r="F187" i="6" s="1"/>
  <c r="B187" i="6"/>
  <c r="E187" i="6" s="1"/>
  <c r="A187" i="6"/>
  <c r="D186" i="6"/>
  <c r="G186" i="6" s="1"/>
  <c r="C186" i="6"/>
  <c r="F186" i="6" s="1"/>
  <c r="B186" i="6"/>
  <c r="E186" i="6" s="1"/>
  <c r="A186" i="6"/>
  <c r="D185" i="6"/>
  <c r="C185" i="6"/>
  <c r="B185" i="6"/>
  <c r="A185" i="6"/>
  <c r="D184" i="6"/>
  <c r="C184" i="6"/>
  <c r="F184" i="6" s="1"/>
  <c r="B184" i="6"/>
  <c r="E184" i="6" s="1"/>
  <c r="A184" i="6"/>
  <c r="D183" i="6"/>
  <c r="G183" i="6" s="1"/>
  <c r="C183" i="6"/>
  <c r="F183" i="6" s="1"/>
  <c r="B183" i="6"/>
  <c r="E183" i="6" s="1"/>
  <c r="A183" i="6"/>
  <c r="D182" i="6"/>
  <c r="C182" i="6"/>
  <c r="B182" i="6"/>
  <c r="E182" i="6" s="1"/>
  <c r="A182" i="6"/>
  <c r="D181" i="6"/>
  <c r="C181" i="6"/>
  <c r="F181" i="6" s="1"/>
  <c r="B181" i="6"/>
  <c r="E181" i="6" s="1"/>
  <c r="A181" i="6"/>
  <c r="D180" i="6"/>
  <c r="G180" i="6" s="1"/>
  <c r="C180" i="6"/>
  <c r="F180" i="6" s="1"/>
  <c r="B180" i="6"/>
  <c r="E180" i="6" s="1"/>
  <c r="A180" i="6"/>
  <c r="D179" i="6"/>
  <c r="C179" i="6"/>
  <c r="B179" i="6"/>
  <c r="A179" i="6"/>
  <c r="D178" i="6"/>
  <c r="C178" i="6"/>
  <c r="F178" i="6" s="1"/>
  <c r="B178" i="6"/>
  <c r="E178" i="6" s="1"/>
  <c r="A178" i="6"/>
  <c r="D177" i="6"/>
  <c r="G177" i="6" s="1"/>
  <c r="C177" i="6"/>
  <c r="F177" i="6" s="1"/>
  <c r="B177" i="6"/>
  <c r="E177" i="6" s="1"/>
  <c r="A177" i="6"/>
  <c r="D176" i="6"/>
  <c r="C176" i="6"/>
  <c r="B176" i="6"/>
  <c r="A176" i="6"/>
  <c r="D175" i="6"/>
  <c r="C175" i="6"/>
  <c r="F175" i="6" s="1"/>
  <c r="B175" i="6"/>
  <c r="E175" i="6" s="1"/>
  <c r="A175" i="6"/>
  <c r="D174" i="6"/>
  <c r="G174" i="6" s="1"/>
  <c r="C174" i="6"/>
  <c r="F174" i="6" s="1"/>
  <c r="B174" i="6"/>
  <c r="E174" i="6" s="1"/>
  <c r="A174" i="6"/>
  <c r="D173" i="6"/>
  <c r="C173" i="6"/>
  <c r="B173" i="6"/>
  <c r="A173" i="6"/>
  <c r="D172" i="6"/>
  <c r="C172" i="6"/>
  <c r="F172" i="6" s="1"/>
  <c r="B172" i="6"/>
  <c r="E172" i="6" s="1"/>
  <c r="A172" i="6"/>
  <c r="D171" i="6"/>
  <c r="G171" i="6" s="1"/>
  <c r="C171" i="6"/>
  <c r="F171" i="6" s="1"/>
  <c r="B171" i="6"/>
  <c r="E171" i="6" s="1"/>
  <c r="A171" i="6"/>
  <c r="D170" i="6"/>
  <c r="C170" i="6"/>
  <c r="B170" i="6"/>
  <c r="E170" i="6" s="1"/>
  <c r="A170" i="6"/>
  <c r="D169" i="6"/>
  <c r="G169" i="6" s="1"/>
  <c r="C169" i="6"/>
  <c r="F169" i="6" s="1"/>
  <c r="B169" i="6"/>
  <c r="E169" i="6" s="1"/>
  <c r="A169" i="6"/>
  <c r="D168" i="6"/>
  <c r="G168" i="6" s="1"/>
  <c r="C168" i="6"/>
  <c r="F168" i="6" s="1"/>
  <c r="B168" i="6"/>
  <c r="E168" i="6" s="1"/>
  <c r="A168" i="6"/>
  <c r="D167" i="6"/>
  <c r="C167" i="6"/>
  <c r="B167" i="6"/>
  <c r="A167" i="6"/>
  <c r="D166" i="6"/>
  <c r="C166" i="6"/>
  <c r="F166" i="6" s="1"/>
  <c r="B166" i="6"/>
  <c r="E166" i="6" s="1"/>
  <c r="A166" i="6"/>
  <c r="D165" i="6"/>
  <c r="G165" i="6" s="1"/>
  <c r="C165" i="6"/>
  <c r="F165" i="6" s="1"/>
  <c r="B165" i="6"/>
  <c r="E165" i="6" s="1"/>
  <c r="A165" i="6"/>
  <c r="D164" i="6"/>
  <c r="C164" i="6"/>
  <c r="B164" i="6"/>
  <c r="A164" i="6"/>
  <c r="D163" i="6"/>
  <c r="C163" i="6"/>
  <c r="F163" i="6" s="1"/>
  <c r="B163" i="6"/>
  <c r="E163" i="6" s="1"/>
  <c r="A163" i="6"/>
  <c r="D162" i="6"/>
  <c r="G162" i="6" s="1"/>
  <c r="C162" i="6"/>
  <c r="F162" i="6" s="1"/>
  <c r="B162" i="6"/>
  <c r="E162" i="6" s="1"/>
  <c r="A162" i="6"/>
  <c r="D161" i="6"/>
  <c r="C161" i="6"/>
  <c r="B161" i="6"/>
  <c r="A161" i="6"/>
  <c r="D160" i="6"/>
  <c r="C160" i="6"/>
  <c r="F160" i="6" s="1"/>
  <c r="B160" i="6"/>
  <c r="E160" i="6" s="1"/>
  <c r="A160" i="6"/>
  <c r="D159" i="6"/>
  <c r="G159" i="6" s="1"/>
  <c r="C159" i="6"/>
  <c r="F159" i="6" s="1"/>
  <c r="B159" i="6"/>
  <c r="E159" i="6" s="1"/>
  <c r="A159" i="6"/>
  <c r="D158" i="6"/>
  <c r="C158" i="6"/>
  <c r="B158" i="6"/>
  <c r="A158" i="6"/>
  <c r="D157" i="6"/>
  <c r="C157" i="6"/>
  <c r="F157" i="6" s="1"/>
  <c r="B157" i="6"/>
  <c r="E157" i="6" s="1"/>
  <c r="A157" i="6"/>
  <c r="D156" i="6"/>
  <c r="G156" i="6" s="1"/>
  <c r="C156" i="6"/>
  <c r="F156" i="6" s="1"/>
  <c r="B156" i="6"/>
  <c r="E156" i="6" s="1"/>
  <c r="A156" i="6"/>
  <c r="D155" i="6"/>
  <c r="C155" i="6"/>
  <c r="B155" i="6"/>
  <c r="A155" i="6"/>
  <c r="D154" i="6"/>
  <c r="C154" i="6"/>
  <c r="F154" i="6" s="1"/>
  <c r="B154" i="6"/>
  <c r="E154" i="6" s="1"/>
  <c r="A154" i="6"/>
  <c r="D153" i="6"/>
  <c r="G153" i="6" s="1"/>
  <c r="C153" i="6"/>
  <c r="F153" i="6" s="1"/>
  <c r="B153" i="6"/>
  <c r="E153" i="6" s="1"/>
  <c r="A153" i="6"/>
  <c r="D152" i="6"/>
  <c r="C152" i="6"/>
  <c r="B152" i="6"/>
  <c r="A152" i="6"/>
  <c r="D151" i="6"/>
  <c r="C151" i="6"/>
  <c r="F151" i="6" s="1"/>
  <c r="B151" i="6"/>
  <c r="E151" i="6" s="1"/>
  <c r="A151" i="6"/>
  <c r="D150" i="6"/>
  <c r="G150" i="6" s="1"/>
  <c r="C150" i="6"/>
  <c r="F150" i="6" s="1"/>
  <c r="B150" i="6"/>
  <c r="E150" i="6" s="1"/>
  <c r="A150" i="6"/>
  <c r="D149" i="6"/>
  <c r="C149" i="6"/>
  <c r="B149" i="6"/>
  <c r="A149" i="6"/>
  <c r="D148" i="6"/>
  <c r="C148" i="6"/>
  <c r="F148" i="6" s="1"/>
  <c r="B148" i="6"/>
  <c r="E148" i="6" s="1"/>
  <c r="A148" i="6"/>
  <c r="D147" i="6"/>
  <c r="G147" i="6" s="1"/>
  <c r="C147" i="6"/>
  <c r="F147" i="6" s="1"/>
  <c r="B147" i="6"/>
  <c r="E147" i="6" s="1"/>
  <c r="A147" i="6"/>
  <c r="D146" i="6"/>
  <c r="C146" i="6"/>
  <c r="B146" i="6"/>
  <c r="E146" i="6" s="1"/>
  <c r="A146" i="6"/>
  <c r="D145" i="6"/>
  <c r="C145" i="6"/>
  <c r="F145" i="6" s="1"/>
  <c r="B145" i="6"/>
  <c r="E145" i="6" s="1"/>
  <c r="A145" i="6"/>
  <c r="D144" i="6"/>
  <c r="G144" i="6" s="1"/>
  <c r="C144" i="6"/>
  <c r="F144" i="6" s="1"/>
  <c r="B144" i="6"/>
  <c r="E144" i="6" s="1"/>
  <c r="A144" i="6"/>
  <c r="D143" i="6"/>
  <c r="C143" i="6"/>
  <c r="B143" i="6"/>
  <c r="A143" i="6"/>
  <c r="D142" i="6"/>
  <c r="C142" i="6"/>
  <c r="F142" i="6" s="1"/>
  <c r="B142" i="6"/>
  <c r="E142" i="6" s="1"/>
  <c r="A142" i="6"/>
  <c r="D141" i="6"/>
  <c r="G141" i="6" s="1"/>
  <c r="C141" i="6"/>
  <c r="F141" i="6" s="1"/>
  <c r="B141" i="6"/>
  <c r="E141" i="6" s="1"/>
  <c r="A141" i="6"/>
  <c r="D140" i="6"/>
  <c r="C140" i="6"/>
  <c r="B140" i="6"/>
  <c r="A140" i="6"/>
  <c r="D139" i="6"/>
  <c r="C139" i="6"/>
  <c r="F139" i="6" s="1"/>
  <c r="B139" i="6"/>
  <c r="E139" i="6" s="1"/>
  <c r="A139" i="6"/>
  <c r="D138" i="6"/>
  <c r="G138" i="6" s="1"/>
  <c r="C138" i="6"/>
  <c r="F138" i="6" s="1"/>
  <c r="B138" i="6"/>
  <c r="E138" i="6" s="1"/>
  <c r="A138" i="6"/>
  <c r="D137" i="6"/>
  <c r="C137" i="6"/>
  <c r="B137" i="6"/>
  <c r="A137" i="6"/>
  <c r="D136" i="6"/>
  <c r="C136" i="6"/>
  <c r="F136" i="6" s="1"/>
  <c r="B136" i="6"/>
  <c r="E136" i="6" s="1"/>
  <c r="A136" i="6"/>
  <c r="D135" i="6"/>
  <c r="G135" i="6" s="1"/>
  <c r="C135" i="6"/>
  <c r="F135" i="6" s="1"/>
  <c r="B135" i="6"/>
  <c r="E135" i="6" s="1"/>
  <c r="A135" i="6"/>
  <c r="D134" i="6"/>
  <c r="C134" i="6"/>
  <c r="B134" i="6"/>
  <c r="E134" i="6" s="1"/>
  <c r="A134" i="6"/>
  <c r="D133" i="6"/>
  <c r="C133" i="6"/>
  <c r="F133" i="6" s="1"/>
  <c r="B133" i="6"/>
  <c r="E133" i="6" s="1"/>
  <c r="A133" i="6"/>
  <c r="D132" i="6"/>
  <c r="G132" i="6" s="1"/>
  <c r="C132" i="6"/>
  <c r="F132" i="6" s="1"/>
  <c r="B132" i="6"/>
  <c r="E132" i="6" s="1"/>
  <c r="A132" i="6"/>
  <c r="D131" i="6"/>
  <c r="C131" i="6"/>
  <c r="B131" i="6"/>
  <c r="A131" i="6"/>
  <c r="D130" i="6"/>
  <c r="C130" i="6"/>
  <c r="F130" i="6" s="1"/>
  <c r="B130" i="6"/>
  <c r="E130" i="6" s="1"/>
  <c r="A130" i="6"/>
  <c r="D129" i="6"/>
  <c r="G129" i="6" s="1"/>
  <c r="C129" i="6"/>
  <c r="F129" i="6" s="1"/>
  <c r="B129" i="6"/>
  <c r="E129" i="6" s="1"/>
  <c r="A129" i="6"/>
  <c r="D128" i="6"/>
  <c r="C128" i="6"/>
  <c r="B128" i="6"/>
  <c r="A128" i="6"/>
  <c r="D127" i="6"/>
  <c r="C127" i="6"/>
  <c r="F127" i="6" s="1"/>
  <c r="B127" i="6"/>
  <c r="E127" i="6" s="1"/>
  <c r="A127" i="6"/>
  <c r="D126" i="6"/>
  <c r="G126" i="6" s="1"/>
  <c r="C126" i="6"/>
  <c r="F126" i="6" s="1"/>
  <c r="B126" i="6"/>
  <c r="E126" i="6" s="1"/>
  <c r="A126" i="6"/>
  <c r="D125" i="6"/>
  <c r="C125" i="6"/>
  <c r="B125" i="6"/>
  <c r="A125" i="6"/>
  <c r="D124" i="6"/>
  <c r="C124" i="6"/>
  <c r="F124" i="6" s="1"/>
  <c r="B124" i="6"/>
  <c r="E124" i="6" s="1"/>
  <c r="A124" i="6"/>
  <c r="D123" i="6"/>
  <c r="G123" i="6" s="1"/>
  <c r="C123" i="6"/>
  <c r="F123" i="6" s="1"/>
  <c r="B123" i="6"/>
  <c r="E123" i="6" s="1"/>
  <c r="A123" i="6"/>
  <c r="D122" i="6"/>
  <c r="C122" i="6"/>
  <c r="B122" i="6"/>
  <c r="A122" i="6"/>
  <c r="D121" i="6"/>
  <c r="C121" i="6"/>
  <c r="F121" i="6" s="1"/>
  <c r="B121" i="6"/>
  <c r="E121" i="6" s="1"/>
  <c r="A121" i="6"/>
  <c r="D120" i="6"/>
  <c r="G120" i="6" s="1"/>
  <c r="C120" i="6"/>
  <c r="B120" i="6"/>
  <c r="E120" i="6" s="1"/>
  <c r="A120" i="6"/>
  <c r="D119" i="6"/>
  <c r="C119" i="6"/>
  <c r="B119" i="6"/>
  <c r="A119" i="6"/>
  <c r="D118" i="6"/>
  <c r="C118" i="6"/>
  <c r="F118" i="6" s="1"/>
  <c r="B118" i="6"/>
  <c r="E118" i="6" s="1"/>
  <c r="A118" i="6"/>
  <c r="D117" i="6"/>
  <c r="G117" i="6" s="1"/>
  <c r="C117" i="6"/>
  <c r="F117" i="6" s="1"/>
  <c r="B117" i="6"/>
  <c r="E117" i="6" s="1"/>
  <c r="A117" i="6"/>
  <c r="D116" i="6"/>
  <c r="C116" i="6"/>
  <c r="B116" i="6"/>
  <c r="A116" i="6"/>
  <c r="D115" i="6"/>
  <c r="C115" i="6"/>
  <c r="F115" i="6" s="1"/>
  <c r="B115" i="6"/>
  <c r="E115" i="6" s="1"/>
  <c r="A115" i="6"/>
  <c r="D114" i="6"/>
  <c r="G114" i="6" s="1"/>
  <c r="C114" i="6"/>
  <c r="F114" i="6" s="1"/>
  <c r="B114" i="6"/>
  <c r="E114" i="6" s="1"/>
  <c r="A114" i="6"/>
  <c r="D113" i="6"/>
  <c r="C113" i="6"/>
  <c r="B113" i="6"/>
  <c r="A113" i="6"/>
  <c r="D112" i="6"/>
  <c r="C112" i="6"/>
  <c r="F112" i="6" s="1"/>
  <c r="B112" i="6"/>
  <c r="E112" i="6" s="1"/>
  <c r="A112" i="6"/>
  <c r="D111" i="6"/>
  <c r="G111" i="6" s="1"/>
  <c r="C111" i="6"/>
  <c r="F111" i="6" s="1"/>
  <c r="B111" i="6"/>
  <c r="E111" i="6" s="1"/>
  <c r="A111" i="6"/>
  <c r="D110" i="6"/>
  <c r="C110" i="6"/>
  <c r="B110" i="6"/>
  <c r="A110" i="6"/>
  <c r="D109" i="6"/>
  <c r="C109" i="6"/>
  <c r="F109" i="6" s="1"/>
  <c r="B109" i="6"/>
  <c r="E109" i="6" s="1"/>
  <c r="A109" i="6"/>
  <c r="D108" i="6"/>
  <c r="G108" i="6" s="1"/>
  <c r="C108" i="6"/>
  <c r="F108" i="6" s="1"/>
  <c r="B108" i="6"/>
  <c r="E108" i="6" s="1"/>
  <c r="A108" i="6"/>
  <c r="D107" i="6"/>
  <c r="C107" i="6"/>
  <c r="B107" i="6"/>
  <c r="A107" i="6"/>
  <c r="D106" i="6"/>
  <c r="C106" i="6"/>
  <c r="F106" i="6" s="1"/>
  <c r="B106" i="6"/>
  <c r="E106" i="6" s="1"/>
  <c r="A106" i="6"/>
  <c r="D105" i="6"/>
  <c r="G105" i="6" s="1"/>
  <c r="C105" i="6"/>
  <c r="F105" i="6" s="1"/>
  <c r="B105" i="6"/>
  <c r="E105" i="6" s="1"/>
  <c r="A105" i="6"/>
  <c r="D104" i="6"/>
  <c r="C104" i="6"/>
  <c r="B104" i="6"/>
  <c r="A104" i="6"/>
  <c r="D103" i="6"/>
  <c r="C103" i="6"/>
  <c r="F103" i="6" s="1"/>
  <c r="B103" i="6"/>
  <c r="E103" i="6" s="1"/>
  <c r="A103" i="6"/>
  <c r="D102" i="6"/>
  <c r="G102" i="6" s="1"/>
  <c r="C102" i="6"/>
  <c r="F102" i="6" s="1"/>
  <c r="B102" i="6"/>
  <c r="E102" i="6" s="1"/>
  <c r="A102" i="6"/>
  <c r="D101" i="6"/>
  <c r="C101" i="6"/>
  <c r="B101" i="6"/>
  <c r="A101" i="6"/>
  <c r="D100" i="6"/>
  <c r="C100" i="6"/>
  <c r="F100" i="6" s="1"/>
  <c r="B100" i="6"/>
  <c r="E100" i="6" s="1"/>
  <c r="A100" i="6"/>
  <c r="D99" i="6"/>
  <c r="G99" i="6" s="1"/>
  <c r="C99" i="6"/>
  <c r="F99" i="6" s="1"/>
  <c r="B99" i="6"/>
  <c r="E99" i="6" s="1"/>
  <c r="A99" i="6"/>
  <c r="D98" i="6"/>
  <c r="C98" i="6"/>
  <c r="B98" i="6"/>
  <c r="A98" i="6"/>
  <c r="D97" i="6"/>
  <c r="C97" i="6"/>
  <c r="F97" i="6" s="1"/>
  <c r="B97" i="6"/>
  <c r="E97" i="6" s="1"/>
  <c r="A97" i="6"/>
  <c r="D96" i="6"/>
  <c r="G96" i="6" s="1"/>
  <c r="C96" i="6"/>
  <c r="F96" i="6" s="1"/>
  <c r="B96" i="6"/>
  <c r="E96" i="6" s="1"/>
  <c r="A96" i="6"/>
  <c r="D95" i="6"/>
  <c r="G95" i="6" s="1"/>
  <c r="C95" i="6"/>
  <c r="B95" i="6"/>
  <c r="A95" i="6"/>
  <c r="D94" i="6"/>
  <c r="C94" i="6"/>
  <c r="F94" i="6" s="1"/>
  <c r="B94" i="6"/>
  <c r="E94" i="6" s="1"/>
  <c r="A94" i="6"/>
  <c r="D93" i="6"/>
  <c r="G93" i="6" s="1"/>
  <c r="C93" i="6"/>
  <c r="F93" i="6" s="1"/>
  <c r="B93" i="6"/>
  <c r="E93" i="6" s="1"/>
  <c r="A93" i="6"/>
  <c r="D92" i="6"/>
  <c r="G92" i="6" s="1"/>
  <c r="C92" i="6"/>
  <c r="B92" i="6"/>
  <c r="A92" i="6"/>
  <c r="D91" i="6"/>
  <c r="C91" i="6"/>
  <c r="F91" i="6" s="1"/>
  <c r="B91" i="6"/>
  <c r="E91" i="6" s="1"/>
  <c r="A91" i="6"/>
  <c r="D90" i="6"/>
  <c r="G90" i="6" s="1"/>
  <c r="C90" i="6"/>
  <c r="F90" i="6" s="1"/>
  <c r="B90" i="6"/>
  <c r="E90" i="6" s="1"/>
  <c r="A90" i="6"/>
  <c r="D89" i="6"/>
  <c r="G89" i="6" s="1"/>
  <c r="C89" i="6"/>
  <c r="B89" i="6"/>
  <c r="A89" i="6"/>
  <c r="D88" i="6"/>
  <c r="C88" i="6"/>
  <c r="F88" i="6" s="1"/>
  <c r="B88" i="6"/>
  <c r="E88" i="6" s="1"/>
  <c r="A88" i="6"/>
  <c r="D87" i="6"/>
  <c r="G87" i="6" s="1"/>
  <c r="C87" i="6"/>
  <c r="F87" i="6" s="1"/>
  <c r="B87" i="6"/>
  <c r="E87" i="6" s="1"/>
  <c r="A87" i="6"/>
  <c r="D86" i="6"/>
  <c r="G86" i="6" s="1"/>
  <c r="C86" i="6"/>
  <c r="B86" i="6"/>
  <c r="A86" i="6"/>
  <c r="D85" i="6"/>
  <c r="C85" i="6"/>
  <c r="F85" i="6" s="1"/>
  <c r="B85" i="6"/>
  <c r="E85" i="6" s="1"/>
  <c r="A85" i="6"/>
  <c r="D84" i="6"/>
  <c r="G84" i="6" s="1"/>
  <c r="C84" i="6"/>
  <c r="F84" i="6" s="1"/>
  <c r="B84" i="6"/>
  <c r="E84" i="6" s="1"/>
  <c r="A84" i="6"/>
  <c r="D83" i="6"/>
  <c r="G83" i="6" s="1"/>
  <c r="C83" i="6"/>
  <c r="B83" i="6"/>
  <c r="A83" i="6"/>
  <c r="D82" i="6"/>
  <c r="C82" i="6"/>
  <c r="F82" i="6" s="1"/>
  <c r="B82" i="6"/>
  <c r="E82" i="6" s="1"/>
  <c r="A82" i="6"/>
  <c r="D81" i="6"/>
  <c r="G81" i="6" s="1"/>
  <c r="C81" i="6"/>
  <c r="F81" i="6" s="1"/>
  <c r="B81" i="6"/>
  <c r="E81" i="6" s="1"/>
  <c r="A81" i="6"/>
  <c r="D80" i="6"/>
  <c r="G80" i="6" s="1"/>
  <c r="C80" i="6"/>
  <c r="B80" i="6"/>
  <c r="A80" i="6"/>
  <c r="D79" i="6"/>
  <c r="C79" i="6"/>
  <c r="F79" i="6" s="1"/>
  <c r="B79" i="6"/>
  <c r="E79" i="6" s="1"/>
  <c r="A79" i="6"/>
  <c r="D78" i="6"/>
  <c r="G78" i="6" s="1"/>
  <c r="C78" i="6"/>
  <c r="F78" i="6" s="1"/>
  <c r="B78" i="6"/>
  <c r="E78" i="6" s="1"/>
  <c r="A78" i="6"/>
  <c r="D77" i="6"/>
  <c r="G77" i="6" s="1"/>
  <c r="C77" i="6"/>
  <c r="B77" i="6"/>
  <c r="A77" i="6"/>
  <c r="D76" i="6"/>
  <c r="C76" i="6"/>
  <c r="F76" i="6" s="1"/>
  <c r="B76" i="6"/>
  <c r="E76" i="6" s="1"/>
  <c r="A76" i="6"/>
  <c r="D75" i="6"/>
  <c r="G75" i="6" s="1"/>
  <c r="C75" i="6"/>
  <c r="F75" i="6" s="1"/>
  <c r="B75" i="6"/>
  <c r="E75" i="6" s="1"/>
  <c r="A75" i="6"/>
  <c r="D74" i="6"/>
  <c r="G74" i="6" s="1"/>
  <c r="C74" i="6"/>
  <c r="B74" i="6"/>
  <c r="A74" i="6"/>
  <c r="D73" i="6"/>
  <c r="G73" i="6" s="1"/>
  <c r="C73" i="6"/>
  <c r="F73" i="6" s="1"/>
  <c r="B73" i="6"/>
  <c r="E73" i="6" s="1"/>
  <c r="A73" i="6"/>
  <c r="D72" i="6"/>
  <c r="G72" i="6" s="1"/>
  <c r="C72" i="6"/>
  <c r="F72" i="6" s="1"/>
  <c r="B72" i="6"/>
  <c r="E72" i="6" s="1"/>
  <c r="A72" i="6"/>
  <c r="D71" i="6"/>
  <c r="G71" i="6" s="1"/>
  <c r="C71" i="6"/>
  <c r="B71" i="6"/>
  <c r="A71" i="6"/>
  <c r="D70" i="6"/>
  <c r="G70" i="6" s="1"/>
  <c r="C70" i="6"/>
  <c r="F70" i="6" s="1"/>
  <c r="B70" i="6"/>
  <c r="E70" i="6" s="1"/>
  <c r="A70" i="6"/>
  <c r="D69" i="6"/>
  <c r="G69" i="6" s="1"/>
  <c r="C69" i="6"/>
  <c r="F69" i="6" s="1"/>
  <c r="B69" i="6"/>
  <c r="E69" i="6" s="1"/>
  <c r="A69" i="6"/>
  <c r="D68" i="6"/>
  <c r="G68" i="6" s="1"/>
  <c r="C68" i="6"/>
  <c r="F68" i="6" s="1"/>
  <c r="B68" i="6"/>
  <c r="A68" i="6"/>
  <c r="D67" i="6"/>
  <c r="G67" i="6" s="1"/>
  <c r="C67" i="6"/>
  <c r="F67" i="6" s="1"/>
  <c r="B67" i="6"/>
  <c r="E67" i="6" s="1"/>
  <c r="A67" i="6"/>
  <c r="D66" i="6"/>
  <c r="G66" i="6" s="1"/>
  <c r="C66" i="6"/>
  <c r="F66" i="6" s="1"/>
  <c r="B66" i="6"/>
  <c r="E66" i="6" s="1"/>
  <c r="A66" i="6"/>
  <c r="D65" i="6"/>
  <c r="G65" i="6" s="1"/>
  <c r="C65" i="6"/>
  <c r="F65" i="6" s="1"/>
  <c r="B65" i="6"/>
  <c r="A65" i="6"/>
  <c r="D64" i="6"/>
  <c r="G64" i="6" s="1"/>
  <c r="C64" i="6"/>
  <c r="F64" i="6" s="1"/>
  <c r="B64" i="6"/>
  <c r="E64" i="6" s="1"/>
  <c r="A64" i="6"/>
  <c r="D63" i="6"/>
  <c r="G63" i="6" s="1"/>
  <c r="C63" i="6"/>
  <c r="F63" i="6" s="1"/>
  <c r="B63" i="6"/>
  <c r="E63" i="6" s="1"/>
  <c r="A63" i="6"/>
  <c r="D62" i="6"/>
  <c r="G62" i="6" s="1"/>
  <c r="C62" i="6"/>
  <c r="F62" i="6" s="1"/>
  <c r="B62" i="6"/>
  <c r="A62" i="6"/>
  <c r="D61" i="6"/>
  <c r="G61" i="6" s="1"/>
  <c r="C61" i="6"/>
  <c r="F61" i="6" s="1"/>
  <c r="B61" i="6"/>
  <c r="E61" i="6" s="1"/>
  <c r="A61" i="6"/>
  <c r="D60" i="6"/>
  <c r="G60" i="6" s="1"/>
  <c r="C60" i="6"/>
  <c r="F60" i="6" s="1"/>
  <c r="B60" i="6"/>
  <c r="E60" i="6" s="1"/>
  <c r="A60" i="6"/>
  <c r="D59" i="6"/>
  <c r="G59" i="6" s="1"/>
  <c r="C59" i="6"/>
  <c r="F59" i="6" s="1"/>
  <c r="B59" i="6"/>
  <c r="A59" i="6"/>
  <c r="D58" i="6"/>
  <c r="G58" i="6" s="1"/>
  <c r="C58" i="6"/>
  <c r="F58" i="6" s="1"/>
  <c r="B58" i="6"/>
  <c r="E58" i="6" s="1"/>
  <c r="A58" i="6"/>
  <c r="D57" i="6"/>
  <c r="G57" i="6" s="1"/>
  <c r="C57" i="6"/>
  <c r="F57" i="6" s="1"/>
  <c r="B57" i="6"/>
  <c r="E57" i="6" s="1"/>
  <c r="A57" i="6"/>
  <c r="D56" i="6"/>
  <c r="G56" i="6" s="1"/>
  <c r="C56" i="6"/>
  <c r="F56" i="6" s="1"/>
  <c r="B56" i="6"/>
  <c r="A56" i="6"/>
  <c r="D55" i="6"/>
  <c r="G55" i="6" s="1"/>
  <c r="C55" i="6"/>
  <c r="F55" i="6" s="1"/>
  <c r="B55" i="6"/>
  <c r="E55" i="6" s="1"/>
  <c r="A55" i="6"/>
  <c r="D54" i="6"/>
  <c r="G54" i="6" s="1"/>
  <c r="C54" i="6"/>
  <c r="F54" i="6" s="1"/>
  <c r="B54" i="6"/>
  <c r="E54" i="6" s="1"/>
  <c r="A54" i="6"/>
  <c r="D53" i="6"/>
  <c r="G53" i="6" s="1"/>
  <c r="C53" i="6"/>
  <c r="F53" i="6" s="1"/>
  <c r="B53" i="6"/>
  <c r="A53" i="6"/>
  <c r="D52" i="6"/>
  <c r="G52" i="6" s="1"/>
  <c r="C52" i="6"/>
  <c r="F52" i="6" s="1"/>
  <c r="B52" i="6"/>
  <c r="E52" i="6" s="1"/>
  <c r="A52" i="6"/>
  <c r="D51" i="6"/>
  <c r="G51" i="6" s="1"/>
  <c r="C51" i="6"/>
  <c r="F51" i="6" s="1"/>
  <c r="B51" i="6"/>
  <c r="E51" i="6" s="1"/>
  <c r="A51" i="6"/>
  <c r="D50" i="6"/>
  <c r="G50" i="6" s="1"/>
  <c r="C50" i="6"/>
  <c r="F50" i="6" s="1"/>
  <c r="B50" i="6"/>
  <c r="A50" i="6"/>
  <c r="D49" i="6"/>
  <c r="G49" i="6" s="1"/>
  <c r="C49" i="6"/>
  <c r="F49" i="6" s="1"/>
  <c r="B49" i="6"/>
  <c r="E49" i="6" s="1"/>
  <c r="A49" i="6"/>
  <c r="D48" i="6"/>
  <c r="G48" i="6" s="1"/>
  <c r="C48" i="6"/>
  <c r="F48" i="6" s="1"/>
  <c r="B48" i="6"/>
  <c r="E48" i="6" s="1"/>
  <c r="A48" i="6"/>
  <c r="D47" i="6"/>
  <c r="G47" i="6" s="1"/>
  <c r="C47" i="6"/>
  <c r="F47" i="6" s="1"/>
  <c r="B47" i="6"/>
  <c r="A47" i="6"/>
  <c r="D46" i="6"/>
  <c r="G46" i="6" s="1"/>
  <c r="C46" i="6"/>
  <c r="F46" i="6" s="1"/>
  <c r="B46" i="6"/>
  <c r="E46" i="6" s="1"/>
  <c r="A46" i="6"/>
  <c r="D45" i="6"/>
  <c r="G45" i="6" s="1"/>
  <c r="C45" i="6"/>
  <c r="F45" i="6" s="1"/>
  <c r="B45" i="6"/>
  <c r="E45" i="6" s="1"/>
  <c r="A45" i="6"/>
  <c r="D44" i="6"/>
  <c r="G44" i="6" s="1"/>
  <c r="C44" i="6"/>
  <c r="F44" i="6" s="1"/>
  <c r="B44" i="6"/>
  <c r="A44" i="6"/>
  <c r="D43" i="6"/>
  <c r="G43" i="6" s="1"/>
  <c r="C43" i="6"/>
  <c r="F43" i="6" s="1"/>
  <c r="B43" i="6"/>
  <c r="E43" i="6" s="1"/>
  <c r="A43" i="6"/>
  <c r="D42" i="6"/>
  <c r="G42" i="6" s="1"/>
  <c r="C42" i="6"/>
  <c r="F42" i="6" s="1"/>
  <c r="B42" i="6"/>
  <c r="E42" i="6" s="1"/>
  <c r="A42" i="6"/>
  <c r="D41" i="6"/>
  <c r="G41" i="6" s="1"/>
  <c r="C41" i="6"/>
  <c r="F41" i="6" s="1"/>
  <c r="B41" i="6"/>
  <c r="A41" i="6"/>
  <c r="D40" i="6"/>
  <c r="G40" i="6" s="1"/>
  <c r="C40" i="6"/>
  <c r="F40" i="6" s="1"/>
  <c r="B40" i="6"/>
  <c r="E40" i="6" s="1"/>
  <c r="A40" i="6"/>
  <c r="D39" i="6"/>
  <c r="G39" i="6" s="1"/>
  <c r="C39" i="6"/>
  <c r="F39" i="6" s="1"/>
  <c r="B39" i="6"/>
  <c r="E39" i="6" s="1"/>
  <c r="A39" i="6"/>
  <c r="D38" i="6"/>
  <c r="G38" i="6" s="1"/>
  <c r="C38" i="6"/>
  <c r="F38" i="6" s="1"/>
  <c r="B38" i="6"/>
  <c r="A38" i="6"/>
  <c r="D37" i="6"/>
  <c r="G37" i="6" s="1"/>
  <c r="C37" i="6"/>
  <c r="F37" i="6" s="1"/>
  <c r="B37" i="6"/>
  <c r="E37" i="6" s="1"/>
  <c r="A37" i="6"/>
  <c r="D36" i="6"/>
  <c r="G36" i="6" s="1"/>
  <c r="C36" i="6"/>
  <c r="F36" i="6" s="1"/>
  <c r="B36" i="6"/>
  <c r="E36" i="6" s="1"/>
  <c r="A36" i="6"/>
  <c r="D35" i="6"/>
  <c r="G35" i="6" s="1"/>
  <c r="C35" i="6"/>
  <c r="F35" i="6" s="1"/>
  <c r="B35" i="6"/>
  <c r="A35" i="6"/>
  <c r="D34" i="6"/>
  <c r="G34" i="6" s="1"/>
  <c r="C34" i="6"/>
  <c r="F34" i="6" s="1"/>
  <c r="B34" i="6"/>
  <c r="E34" i="6" s="1"/>
  <c r="A34" i="6"/>
  <c r="D33" i="6"/>
  <c r="G33" i="6" s="1"/>
  <c r="C33" i="6"/>
  <c r="F33" i="6" s="1"/>
  <c r="B33" i="6"/>
  <c r="E33" i="6" s="1"/>
  <c r="A33" i="6"/>
  <c r="D32" i="6"/>
  <c r="G32" i="6" s="1"/>
  <c r="C32" i="6"/>
  <c r="F32" i="6" s="1"/>
  <c r="B32" i="6"/>
  <c r="A32" i="6"/>
  <c r="D31" i="6"/>
  <c r="G31" i="6" s="1"/>
  <c r="C31" i="6"/>
  <c r="F31" i="6" s="1"/>
  <c r="B31" i="6"/>
  <c r="E31" i="6" s="1"/>
  <c r="A31" i="6"/>
  <c r="D30" i="6"/>
  <c r="G30" i="6" s="1"/>
  <c r="C30" i="6"/>
  <c r="F30" i="6" s="1"/>
  <c r="B30" i="6"/>
  <c r="E30" i="6" s="1"/>
  <c r="A30" i="6"/>
  <c r="D29" i="6"/>
  <c r="G29" i="6" s="1"/>
  <c r="C29" i="6"/>
  <c r="F29" i="6" s="1"/>
  <c r="B29" i="6"/>
  <c r="A29" i="6"/>
  <c r="D28" i="6"/>
  <c r="G28" i="6" s="1"/>
  <c r="C28" i="6"/>
  <c r="F28" i="6" s="1"/>
  <c r="B28" i="6"/>
  <c r="E28" i="6" s="1"/>
  <c r="A28" i="6"/>
  <c r="D27" i="6"/>
  <c r="G27" i="6" s="1"/>
  <c r="C27" i="6"/>
  <c r="F27" i="6" s="1"/>
  <c r="B27" i="6"/>
  <c r="E27" i="6" s="1"/>
  <c r="A27" i="6"/>
  <c r="D26" i="6"/>
  <c r="G26" i="6" s="1"/>
  <c r="C26" i="6"/>
  <c r="F26" i="6" s="1"/>
  <c r="B26" i="6"/>
  <c r="A26" i="6"/>
  <c r="D25" i="6"/>
  <c r="G25" i="6" s="1"/>
  <c r="C25" i="6"/>
  <c r="F25" i="6" s="1"/>
  <c r="B25" i="6"/>
  <c r="E25" i="6" s="1"/>
  <c r="A25" i="6"/>
  <c r="D24" i="6"/>
  <c r="G24" i="6" s="1"/>
  <c r="C24" i="6"/>
  <c r="F24" i="6" s="1"/>
  <c r="B24" i="6"/>
  <c r="E24" i="6" s="1"/>
  <c r="A24" i="6"/>
  <c r="D23" i="6"/>
  <c r="G23" i="6" s="1"/>
  <c r="C23" i="6"/>
  <c r="F23" i="6" s="1"/>
  <c r="B23" i="6"/>
  <c r="A23" i="6"/>
  <c r="D22" i="6"/>
  <c r="G22" i="6" s="1"/>
  <c r="C22" i="6"/>
  <c r="F22" i="6" s="1"/>
  <c r="B22" i="6"/>
  <c r="E22" i="6" s="1"/>
  <c r="A22" i="6"/>
  <c r="D21" i="6"/>
  <c r="G21" i="6" s="1"/>
  <c r="C21" i="6"/>
  <c r="F21" i="6" s="1"/>
  <c r="B21" i="6"/>
  <c r="E21" i="6" s="1"/>
  <c r="A21" i="6"/>
  <c r="D20" i="6"/>
  <c r="G20" i="6" s="1"/>
  <c r="C20" i="6"/>
  <c r="F20" i="6" s="1"/>
  <c r="B20" i="6"/>
  <c r="A20" i="6"/>
  <c r="D19" i="6"/>
  <c r="G19" i="6" s="1"/>
  <c r="C19" i="6"/>
  <c r="F19" i="6" s="1"/>
  <c r="B19" i="6"/>
  <c r="E19" i="6" s="1"/>
  <c r="A19" i="6"/>
  <c r="D18" i="6"/>
  <c r="G18" i="6" s="1"/>
  <c r="C18" i="6"/>
  <c r="F18" i="6" s="1"/>
  <c r="B18" i="6"/>
  <c r="E18" i="6" s="1"/>
  <c r="A18" i="6"/>
  <c r="D17" i="6"/>
  <c r="G17" i="6" s="1"/>
  <c r="C17" i="6"/>
  <c r="F17" i="6" s="1"/>
  <c r="B17" i="6"/>
  <c r="A17" i="6"/>
  <c r="D16" i="6"/>
  <c r="G16" i="6" s="1"/>
  <c r="C16" i="6"/>
  <c r="F16" i="6" s="1"/>
  <c r="B16" i="6"/>
  <c r="E16" i="6" s="1"/>
  <c r="A16" i="6"/>
  <c r="D15" i="6"/>
  <c r="G15" i="6" s="1"/>
  <c r="C15" i="6"/>
  <c r="F15" i="6" s="1"/>
  <c r="B15" i="6"/>
  <c r="E15" i="6" s="1"/>
  <c r="A15" i="6"/>
  <c r="D14" i="6"/>
  <c r="G14" i="6" s="1"/>
  <c r="C14" i="6"/>
  <c r="F14" i="6" s="1"/>
  <c r="B14" i="6"/>
  <c r="A14" i="6"/>
  <c r="A13" i="6"/>
  <c r="B13" i="6"/>
  <c r="E13" i="6" s="1"/>
  <c r="C13" i="6"/>
  <c r="F13" i="6" s="1"/>
  <c r="D13" i="6"/>
  <c r="G13" i="6" s="1"/>
  <c r="E22" i="5"/>
  <c r="D22" i="5"/>
  <c r="C22" i="5"/>
  <c r="B22" i="5"/>
  <c r="J38" i="7" s="1"/>
  <c r="A22" i="5"/>
  <c r="I38" i="7" s="1"/>
  <c r="E21" i="5"/>
  <c r="K37" i="7" s="1"/>
  <c r="D21" i="5"/>
  <c r="C21" i="5"/>
  <c r="B21" i="5"/>
  <c r="J37" i="7" s="1"/>
  <c r="A21" i="5"/>
  <c r="I37" i="7" s="1"/>
  <c r="E20" i="5"/>
  <c r="D20" i="5"/>
  <c r="C20" i="5"/>
  <c r="B20" i="5"/>
  <c r="J36" i="7" s="1"/>
  <c r="A20" i="5"/>
  <c r="I36" i="7" s="1"/>
  <c r="E19" i="5"/>
  <c r="K35" i="7" s="1"/>
  <c r="D19" i="5"/>
  <c r="C19" i="5"/>
  <c r="B19" i="5"/>
  <c r="J35" i="7" s="1"/>
  <c r="A19" i="5"/>
  <c r="I35" i="7" s="1"/>
  <c r="E18" i="5"/>
  <c r="D18" i="5"/>
  <c r="C18" i="5"/>
  <c r="B18" i="5"/>
  <c r="J34" i="7" s="1"/>
  <c r="A18" i="5"/>
  <c r="I34" i="7" s="1"/>
  <c r="B17" i="5"/>
  <c r="C17" i="5"/>
  <c r="D17" i="5"/>
  <c r="E17" i="5"/>
  <c r="E12" i="5"/>
  <c r="D12" i="5"/>
  <c r="C12" i="5"/>
  <c r="B12" i="5"/>
  <c r="C36" i="7" s="1"/>
  <c r="A12" i="5"/>
  <c r="B36" i="7" s="1"/>
  <c r="E11" i="5"/>
  <c r="D11" i="5"/>
  <c r="C11" i="5"/>
  <c r="B11" i="5"/>
  <c r="C35" i="7" s="1"/>
  <c r="A11" i="5"/>
  <c r="B35" i="7" s="1"/>
  <c r="E10" i="5"/>
  <c r="D34" i="7" s="1"/>
  <c r="D10" i="5"/>
  <c r="C10" i="5"/>
  <c r="B10" i="5"/>
  <c r="C34" i="7" s="1"/>
  <c r="A10" i="5"/>
  <c r="B34" i="7" s="1"/>
  <c r="A9" i="5"/>
  <c r="B33" i="7" s="1"/>
  <c r="B9" i="5"/>
  <c r="C33" i="7" s="1"/>
  <c r="C9" i="5"/>
  <c r="D9" i="5"/>
  <c r="F9" i="5" s="1"/>
  <c r="E9" i="5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I337" i="4"/>
  <c r="H337" i="4"/>
  <c r="J337" i="4" s="1"/>
  <c r="B337" i="4"/>
  <c r="I336" i="4"/>
  <c r="H336" i="4"/>
  <c r="J336" i="4" s="1"/>
  <c r="B336" i="4"/>
  <c r="I335" i="4"/>
  <c r="H335" i="4"/>
  <c r="J335" i="4" s="1"/>
  <c r="B335" i="4"/>
  <c r="I334" i="4"/>
  <c r="H334" i="4"/>
  <c r="J334" i="4" s="1"/>
  <c r="B334" i="4"/>
  <c r="I333" i="4"/>
  <c r="H333" i="4"/>
  <c r="J333" i="4" s="1"/>
  <c r="B333" i="4"/>
  <c r="I332" i="4"/>
  <c r="H332" i="4"/>
  <c r="J332" i="4" s="1"/>
  <c r="B332" i="4"/>
  <c r="I331" i="4"/>
  <c r="H331" i="4"/>
  <c r="J331" i="4" s="1"/>
  <c r="B331" i="4"/>
  <c r="I330" i="4"/>
  <c r="H330" i="4"/>
  <c r="J330" i="4" s="1"/>
  <c r="B330" i="4"/>
  <c r="I329" i="4"/>
  <c r="H329" i="4"/>
  <c r="J329" i="4" s="1"/>
  <c r="B329" i="4"/>
  <c r="I328" i="4"/>
  <c r="H328" i="4"/>
  <c r="J328" i="4" s="1"/>
  <c r="B328" i="4"/>
  <c r="I327" i="4"/>
  <c r="H327" i="4"/>
  <c r="J327" i="4" s="1"/>
  <c r="B327" i="4"/>
  <c r="I326" i="4"/>
  <c r="H326" i="4"/>
  <c r="J326" i="4" s="1"/>
  <c r="B326" i="4"/>
  <c r="I325" i="4"/>
  <c r="H325" i="4"/>
  <c r="J325" i="4" s="1"/>
  <c r="B325" i="4"/>
  <c r="I324" i="4"/>
  <c r="H324" i="4"/>
  <c r="J324" i="4" s="1"/>
  <c r="B324" i="4"/>
  <c r="I323" i="4"/>
  <c r="H323" i="4"/>
  <c r="J323" i="4" s="1"/>
  <c r="B323" i="4"/>
  <c r="I322" i="4"/>
  <c r="H322" i="4"/>
  <c r="J322" i="4" s="1"/>
  <c r="B322" i="4"/>
  <c r="I321" i="4"/>
  <c r="H321" i="4"/>
  <c r="J321" i="4" s="1"/>
  <c r="B321" i="4"/>
  <c r="I320" i="4"/>
  <c r="H320" i="4"/>
  <c r="J320" i="4" s="1"/>
  <c r="B320" i="4"/>
  <c r="I319" i="4"/>
  <c r="H319" i="4"/>
  <c r="J319" i="4" s="1"/>
  <c r="B319" i="4"/>
  <c r="I318" i="4"/>
  <c r="H318" i="4"/>
  <c r="J318" i="4" s="1"/>
  <c r="B318" i="4"/>
  <c r="I317" i="4"/>
  <c r="H317" i="4"/>
  <c r="J317" i="4" s="1"/>
  <c r="B317" i="4"/>
  <c r="I316" i="4"/>
  <c r="H316" i="4"/>
  <c r="J316" i="4" s="1"/>
  <c r="B316" i="4"/>
  <c r="I315" i="4"/>
  <c r="H315" i="4"/>
  <c r="J315" i="4" s="1"/>
  <c r="B315" i="4"/>
  <c r="I314" i="4"/>
  <c r="H314" i="4"/>
  <c r="J314" i="4" s="1"/>
  <c r="B314" i="4"/>
  <c r="I313" i="4"/>
  <c r="H313" i="4"/>
  <c r="J313" i="4" s="1"/>
  <c r="B313" i="4"/>
  <c r="I312" i="4"/>
  <c r="H312" i="4"/>
  <c r="J312" i="4" s="1"/>
  <c r="B312" i="4"/>
  <c r="I311" i="4"/>
  <c r="H311" i="4"/>
  <c r="J311" i="4" s="1"/>
  <c r="B311" i="4"/>
  <c r="I310" i="4"/>
  <c r="H310" i="4"/>
  <c r="J310" i="4" s="1"/>
  <c r="B310" i="4"/>
  <c r="I309" i="4"/>
  <c r="H309" i="4"/>
  <c r="J309" i="4" s="1"/>
  <c r="B309" i="4"/>
  <c r="I308" i="4"/>
  <c r="H308" i="4"/>
  <c r="J308" i="4" s="1"/>
  <c r="B308" i="4"/>
  <c r="I307" i="4"/>
  <c r="H307" i="4"/>
  <c r="J307" i="4" s="1"/>
  <c r="B307" i="4"/>
  <c r="I306" i="4"/>
  <c r="H306" i="4"/>
  <c r="J306" i="4" s="1"/>
  <c r="B306" i="4"/>
  <c r="I305" i="4"/>
  <c r="H305" i="4"/>
  <c r="J305" i="4" s="1"/>
  <c r="B305" i="4"/>
  <c r="I304" i="4"/>
  <c r="H304" i="4"/>
  <c r="J304" i="4" s="1"/>
  <c r="B304" i="4"/>
  <c r="I303" i="4"/>
  <c r="H303" i="4"/>
  <c r="J303" i="4" s="1"/>
  <c r="B303" i="4"/>
  <c r="I302" i="4"/>
  <c r="H302" i="4"/>
  <c r="J302" i="4" s="1"/>
  <c r="B302" i="4"/>
  <c r="I301" i="4"/>
  <c r="H301" i="4"/>
  <c r="J301" i="4" s="1"/>
  <c r="B301" i="4"/>
  <c r="I300" i="4"/>
  <c r="H300" i="4"/>
  <c r="J300" i="4" s="1"/>
  <c r="B300" i="4"/>
  <c r="I299" i="4"/>
  <c r="H299" i="4"/>
  <c r="J299" i="4" s="1"/>
  <c r="B299" i="4"/>
  <c r="I298" i="4"/>
  <c r="H298" i="4"/>
  <c r="J298" i="4" s="1"/>
  <c r="B298" i="4"/>
  <c r="I297" i="4"/>
  <c r="H297" i="4"/>
  <c r="J297" i="4" s="1"/>
  <c r="B297" i="4"/>
  <c r="I296" i="4"/>
  <c r="H296" i="4"/>
  <c r="J296" i="4" s="1"/>
  <c r="B296" i="4"/>
  <c r="I295" i="4"/>
  <c r="H295" i="4"/>
  <c r="J295" i="4" s="1"/>
  <c r="B295" i="4"/>
  <c r="I294" i="4"/>
  <c r="H294" i="4"/>
  <c r="J294" i="4" s="1"/>
  <c r="B294" i="4"/>
  <c r="I293" i="4"/>
  <c r="H293" i="4"/>
  <c r="J293" i="4" s="1"/>
  <c r="B293" i="4"/>
  <c r="I292" i="4"/>
  <c r="H292" i="4"/>
  <c r="J292" i="4" s="1"/>
  <c r="B292" i="4"/>
  <c r="I291" i="4"/>
  <c r="H291" i="4"/>
  <c r="J291" i="4" s="1"/>
  <c r="B291" i="4"/>
  <c r="I290" i="4"/>
  <c r="H290" i="4"/>
  <c r="J290" i="4" s="1"/>
  <c r="B290" i="4"/>
  <c r="I289" i="4"/>
  <c r="H289" i="4"/>
  <c r="J289" i="4" s="1"/>
  <c r="B289" i="4"/>
  <c r="I288" i="4"/>
  <c r="H288" i="4"/>
  <c r="J288" i="4" s="1"/>
  <c r="B288" i="4"/>
  <c r="I287" i="4"/>
  <c r="H287" i="4"/>
  <c r="J287" i="4" s="1"/>
  <c r="B287" i="4"/>
  <c r="I286" i="4"/>
  <c r="H286" i="4"/>
  <c r="J286" i="4" s="1"/>
  <c r="B286" i="4"/>
  <c r="I285" i="4"/>
  <c r="H285" i="4"/>
  <c r="J285" i="4" s="1"/>
  <c r="B285" i="4"/>
  <c r="I284" i="4"/>
  <c r="H284" i="4"/>
  <c r="J284" i="4" s="1"/>
  <c r="B284" i="4"/>
  <c r="I283" i="4"/>
  <c r="H283" i="4"/>
  <c r="J283" i="4" s="1"/>
  <c r="B283" i="4"/>
  <c r="I282" i="4"/>
  <c r="H282" i="4"/>
  <c r="J282" i="4" s="1"/>
  <c r="B282" i="4"/>
  <c r="I281" i="4"/>
  <c r="H281" i="4"/>
  <c r="J281" i="4" s="1"/>
  <c r="B281" i="4"/>
  <c r="I280" i="4"/>
  <c r="H280" i="4"/>
  <c r="J280" i="4" s="1"/>
  <c r="B280" i="4"/>
  <c r="I279" i="4"/>
  <c r="H279" i="4"/>
  <c r="J279" i="4" s="1"/>
  <c r="B279" i="4"/>
  <c r="I278" i="4"/>
  <c r="H278" i="4"/>
  <c r="J278" i="4" s="1"/>
  <c r="B278" i="4"/>
  <c r="I277" i="4"/>
  <c r="H277" i="4"/>
  <c r="J277" i="4" s="1"/>
  <c r="B277" i="4"/>
  <c r="I276" i="4"/>
  <c r="H276" i="4"/>
  <c r="J276" i="4" s="1"/>
  <c r="B276" i="4"/>
  <c r="I275" i="4"/>
  <c r="H275" i="4"/>
  <c r="J275" i="4" s="1"/>
  <c r="B275" i="4"/>
  <c r="I274" i="4"/>
  <c r="H274" i="4"/>
  <c r="J274" i="4" s="1"/>
  <c r="B274" i="4"/>
  <c r="I273" i="4"/>
  <c r="H273" i="4"/>
  <c r="J273" i="4" s="1"/>
  <c r="B273" i="4"/>
  <c r="I272" i="4"/>
  <c r="H272" i="4"/>
  <c r="J272" i="4" s="1"/>
  <c r="B272" i="4"/>
  <c r="I271" i="4"/>
  <c r="H271" i="4"/>
  <c r="J271" i="4" s="1"/>
  <c r="B271" i="4"/>
  <c r="I270" i="4"/>
  <c r="H270" i="4"/>
  <c r="J270" i="4" s="1"/>
  <c r="B270" i="4"/>
  <c r="I269" i="4"/>
  <c r="H269" i="4"/>
  <c r="J269" i="4" s="1"/>
  <c r="B269" i="4"/>
  <c r="I268" i="4"/>
  <c r="H268" i="4"/>
  <c r="J268" i="4" s="1"/>
  <c r="B268" i="4"/>
  <c r="I267" i="4"/>
  <c r="H267" i="4"/>
  <c r="J267" i="4" s="1"/>
  <c r="B267" i="4"/>
  <c r="I266" i="4"/>
  <c r="H266" i="4"/>
  <c r="J266" i="4" s="1"/>
  <c r="B266" i="4"/>
  <c r="I265" i="4"/>
  <c r="H265" i="4"/>
  <c r="J265" i="4" s="1"/>
  <c r="B265" i="4"/>
  <c r="I264" i="4"/>
  <c r="H264" i="4"/>
  <c r="J264" i="4" s="1"/>
  <c r="B264" i="4"/>
  <c r="I263" i="4"/>
  <c r="H263" i="4"/>
  <c r="J263" i="4" s="1"/>
  <c r="B263" i="4"/>
  <c r="I262" i="4"/>
  <c r="H262" i="4"/>
  <c r="J262" i="4" s="1"/>
  <c r="B262" i="4"/>
  <c r="I261" i="4"/>
  <c r="H261" i="4"/>
  <c r="J261" i="4" s="1"/>
  <c r="B261" i="4"/>
  <c r="I260" i="4"/>
  <c r="H260" i="4"/>
  <c r="J260" i="4" s="1"/>
  <c r="B260" i="4"/>
  <c r="I259" i="4"/>
  <c r="H259" i="4"/>
  <c r="J259" i="4" s="1"/>
  <c r="B259" i="4"/>
  <c r="I258" i="4"/>
  <c r="H258" i="4"/>
  <c r="J258" i="4" s="1"/>
  <c r="B258" i="4"/>
  <c r="I257" i="4"/>
  <c r="H257" i="4"/>
  <c r="J257" i="4" s="1"/>
  <c r="B257" i="4"/>
  <c r="I256" i="4"/>
  <c r="H256" i="4"/>
  <c r="J256" i="4" s="1"/>
  <c r="B256" i="4"/>
  <c r="I255" i="4"/>
  <c r="H255" i="4"/>
  <c r="J255" i="4" s="1"/>
  <c r="B255" i="4"/>
  <c r="I254" i="4"/>
  <c r="H254" i="4"/>
  <c r="J254" i="4" s="1"/>
  <c r="B254" i="4"/>
  <c r="I253" i="4"/>
  <c r="H253" i="4"/>
  <c r="J253" i="4" s="1"/>
  <c r="B253" i="4"/>
  <c r="I252" i="4"/>
  <c r="H252" i="4"/>
  <c r="J252" i="4" s="1"/>
  <c r="B252" i="4"/>
  <c r="I251" i="4"/>
  <c r="H251" i="4"/>
  <c r="J251" i="4" s="1"/>
  <c r="B251" i="4"/>
  <c r="I250" i="4"/>
  <c r="H250" i="4"/>
  <c r="J250" i="4" s="1"/>
  <c r="B250" i="4"/>
  <c r="I249" i="4"/>
  <c r="H249" i="4"/>
  <c r="J249" i="4" s="1"/>
  <c r="B249" i="4"/>
  <c r="I248" i="4"/>
  <c r="H248" i="4"/>
  <c r="J248" i="4" s="1"/>
  <c r="B248" i="4"/>
  <c r="I247" i="4"/>
  <c r="H247" i="4"/>
  <c r="J247" i="4" s="1"/>
  <c r="B247" i="4"/>
  <c r="I246" i="4"/>
  <c r="H246" i="4"/>
  <c r="J246" i="4" s="1"/>
  <c r="B246" i="4"/>
  <c r="I245" i="4"/>
  <c r="H245" i="4"/>
  <c r="J245" i="4" s="1"/>
  <c r="B245" i="4"/>
  <c r="I244" i="4"/>
  <c r="H244" i="4"/>
  <c r="J244" i="4" s="1"/>
  <c r="B244" i="4"/>
  <c r="I243" i="4"/>
  <c r="H243" i="4"/>
  <c r="J243" i="4" s="1"/>
  <c r="B243" i="4"/>
  <c r="I242" i="4"/>
  <c r="H242" i="4"/>
  <c r="J242" i="4" s="1"/>
  <c r="B242" i="4"/>
  <c r="I241" i="4"/>
  <c r="H241" i="4"/>
  <c r="J241" i="4" s="1"/>
  <c r="B241" i="4"/>
  <c r="I240" i="4"/>
  <c r="H240" i="4"/>
  <c r="J240" i="4" s="1"/>
  <c r="B240" i="4"/>
  <c r="I239" i="4"/>
  <c r="H239" i="4"/>
  <c r="J239" i="4" s="1"/>
  <c r="B239" i="4"/>
  <c r="I238" i="4"/>
  <c r="H238" i="4"/>
  <c r="J238" i="4" s="1"/>
  <c r="B238" i="4"/>
  <c r="I237" i="4"/>
  <c r="H237" i="4"/>
  <c r="J237" i="4" s="1"/>
  <c r="B237" i="4"/>
  <c r="I236" i="4"/>
  <c r="H236" i="4"/>
  <c r="J236" i="4" s="1"/>
  <c r="B236" i="4"/>
  <c r="I235" i="4"/>
  <c r="H235" i="4"/>
  <c r="J235" i="4" s="1"/>
  <c r="B235" i="4"/>
  <c r="I234" i="4"/>
  <c r="H234" i="4"/>
  <c r="J234" i="4" s="1"/>
  <c r="B234" i="4"/>
  <c r="I233" i="4"/>
  <c r="H233" i="4"/>
  <c r="J233" i="4" s="1"/>
  <c r="B233" i="4"/>
  <c r="I232" i="4"/>
  <c r="H232" i="4"/>
  <c r="J232" i="4" s="1"/>
  <c r="B232" i="4"/>
  <c r="I231" i="4"/>
  <c r="H231" i="4"/>
  <c r="J231" i="4" s="1"/>
  <c r="B231" i="4"/>
  <c r="I230" i="4"/>
  <c r="H230" i="4"/>
  <c r="J230" i="4" s="1"/>
  <c r="B230" i="4"/>
  <c r="I229" i="4"/>
  <c r="H229" i="4"/>
  <c r="J229" i="4" s="1"/>
  <c r="B229" i="4"/>
  <c r="I228" i="4"/>
  <c r="H228" i="4"/>
  <c r="J228" i="4" s="1"/>
  <c r="B228" i="4"/>
  <c r="I227" i="4"/>
  <c r="H227" i="4"/>
  <c r="J227" i="4" s="1"/>
  <c r="B227" i="4"/>
  <c r="I226" i="4"/>
  <c r="H226" i="4"/>
  <c r="J226" i="4" s="1"/>
  <c r="B226" i="4"/>
  <c r="I225" i="4"/>
  <c r="H225" i="4"/>
  <c r="J225" i="4" s="1"/>
  <c r="B225" i="4"/>
  <c r="I224" i="4"/>
  <c r="H224" i="4"/>
  <c r="J224" i="4" s="1"/>
  <c r="B224" i="4"/>
  <c r="I223" i="4"/>
  <c r="H223" i="4"/>
  <c r="J223" i="4" s="1"/>
  <c r="B223" i="4"/>
  <c r="I222" i="4"/>
  <c r="H222" i="4"/>
  <c r="J222" i="4" s="1"/>
  <c r="B222" i="4"/>
  <c r="I221" i="4"/>
  <c r="H221" i="4"/>
  <c r="J221" i="4" s="1"/>
  <c r="B221" i="4"/>
  <c r="I220" i="4"/>
  <c r="H220" i="4"/>
  <c r="J220" i="4" s="1"/>
  <c r="B220" i="4"/>
  <c r="I219" i="4"/>
  <c r="H219" i="4"/>
  <c r="J219" i="4" s="1"/>
  <c r="B219" i="4"/>
  <c r="I218" i="4"/>
  <c r="H218" i="4"/>
  <c r="J218" i="4" s="1"/>
  <c r="B218" i="4"/>
  <c r="I217" i="4"/>
  <c r="H217" i="4"/>
  <c r="J217" i="4" s="1"/>
  <c r="B217" i="4"/>
  <c r="I216" i="4"/>
  <c r="H216" i="4"/>
  <c r="J216" i="4" s="1"/>
  <c r="B216" i="4"/>
  <c r="I215" i="4"/>
  <c r="H215" i="4"/>
  <c r="J215" i="4" s="1"/>
  <c r="B215" i="4"/>
  <c r="I214" i="4"/>
  <c r="H214" i="4"/>
  <c r="J214" i="4" s="1"/>
  <c r="B214" i="4"/>
  <c r="I213" i="4"/>
  <c r="H213" i="4"/>
  <c r="J213" i="4" s="1"/>
  <c r="B213" i="4"/>
  <c r="I212" i="4"/>
  <c r="H212" i="4"/>
  <c r="J212" i="4" s="1"/>
  <c r="B212" i="4"/>
  <c r="I211" i="4"/>
  <c r="H211" i="4"/>
  <c r="J211" i="4" s="1"/>
  <c r="B211" i="4"/>
  <c r="I210" i="4"/>
  <c r="H210" i="4"/>
  <c r="J210" i="4" s="1"/>
  <c r="B210" i="4"/>
  <c r="I209" i="4"/>
  <c r="H209" i="4"/>
  <c r="J209" i="4" s="1"/>
  <c r="B209" i="4"/>
  <c r="I208" i="4"/>
  <c r="H208" i="4"/>
  <c r="J208" i="4" s="1"/>
  <c r="B208" i="4"/>
  <c r="I207" i="4"/>
  <c r="H207" i="4"/>
  <c r="J207" i="4" s="1"/>
  <c r="B207" i="4"/>
  <c r="I206" i="4"/>
  <c r="H206" i="4"/>
  <c r="J206" i="4" s="1"/>
  <c r="B206" i="4"/>
  <c r="I205" i="4"/>
  <c r="H205" i="4"/>
  <c r="J205" i="4" s="1"/>
  <c r="B205" i="4"/>
  <c r="I204" i="4"/>
  <c r="H204" i="4"/>
  <c r="J204" i="4" s="1"/>
  <c r="B204" i="4"/>
  <c r="I203" i="4"/>
  <c r="H203" i="4"/>
  <c r="J203" i="4" s="1"/>
  <c r="B203" i="4"/>
  <c r="I202" i="4"/>
  <c r="H202" i="4"/>
  <c r="J202" i="4" s="1"/>
  <c r="B202" i="4"/>
  <c r="I201" i="4"/>
  <c r="H201" i="4"/>
  <c r="J201" i="4" s="1"/>
  <c r="B201" i="4"/>
  <c r="I200" i="4"/>
  <c r="H200" i="4"/>
  <c r="J200" i="4" s="1"/>
  <c r="B200" i="4"/>
  <c r="I199" i="4"/>
  <c r="H199" i="4"/>
  <c r="J199" i="4" s="1"/>
  <c r="B199" i="4"/>
  <c r="I198" i="4"/>
  <c r="H198" i="4"/>
  <c r="J198" i="4" s="1"/>
  <c r="B198" i="4"/>
  <c r="I197" i="4"/>
  <c r="H197" i="4"/>
  <c r="J197" i="4" s="1"/>
  <c r="B197" i="4"/>
  <c r="I196" i="4"/>
  <c r="H196" i="4"/>
  <c r="J196" i="4" s="1"/>
  <c r="B196" i="4"/>
  <c r="I195" i="4"/>
  <c r="H195" i="4"/>
  <c r="J195" i="4" s="1"/>
  <c r="B195" i="4"/>
  <c r="I194" i="4"/>
  <c r="H194" i="4"/>
  <c r="J194" i="4" s="1"/>
  <c r="B194" i="4"/>
  <c r="I193" i="4"/>
  <c r="H193" i="4"/>
  <c r="J193" i="4" s="1"/>
  <c r="B193" i="4"/>
  <c r="I192" i="4"/>
  <c r="H192" i="4"/>
  <c r="J192" i="4" s="1"/>
  <c r="B192" i="4"/>
  <c r="I191" i="4"/>
  <c r="H191" i="4"/>
  <c r="J191" i="4" s="1"/>
  <c r="B191" i="4"/>
  <c r="I190" i="4"/>
  <c r="H190" i="4"/>
  <c r="J190" i="4" s="1"/>
  <c r="B190" i="4"/>
  <c r="I189" i="4"/>
  <c r="H189" i="4"/>
  <c r="J189" i="4" s="1"/>
  <c r="B189" i="4"/>
  <c r="I188" i="4"/>
  <c r="H188" i="4"/>
  <c r="J188" i="4" s="1"/>
  <c r="B188" i="4"/>
  <c r="I187" i="4"/>
  <c r="H187" i="4"/>
  <c r="J187" i="4" s="1"/>
  <c r="B187" i="4"/>
  <c r="I186" i="4"/>
  <c r="H186" i="4"/>
  <c r="J186" i="4" s="1"/>
  <c r="B186" i="4"/>
  <c r="I185" i="4"/>
  <c r="H185" i="4"/>
  <c r="J185" i="4" s="1"/>
  <c r="B185" i="4"/>
  <c r="I184" i="4"/>
  <c r="H184" i="4"/>
  <c r="J184" i="4" s="1"/>
  <c r="B184" i="4"/>
  <c r="I183" i="4"/>
  <c r="H183" i="4"/>
  <c r="J183" i="4" s="1"/>
  <c r="B183" i="4"/>
  <c r="I182" i="4"/>
  <c r="H182" i="4"/>
  <c r="J182" i="4" s="1"/>
  <c r="B182" i="4"/>
  <c r="I181" i="4"/>
  <c r="H181" i="4"/>
  <c r="J181" i="4" s="1"/>
  <c r="B181" i="4"/>
  <c r="I180" i="4"/>
  <c r="H180" i="4"/>
  <c r="J180" i="4" s="1"/>
  <c r="B180" i="4"/>
  <c r="I179" i="4"/>
  <c r="H179" i="4"/>
  <c r="J179" i="4" s="1"/>
  <c r="B179" i="4"/>
  <c r="I178" i="4"/>
  <c r="H178" i="4"/>
  <c r="J178" i="4" s="1"/>
  <c r="B178" i="4"/>
  <c r="I177" i="4"/>
  <c r="H177" i="4"/>
  <c r="J177" i="4" s="1"/>
  <c r="B177" i="4"/>
  <c r="I176" i="4"/>
  <c r="H176" i="4"/>
  <c r="J176" i="4" s="1"/>
  <c r="B176" i="4"/>
  <c r="I175" i="4"/>
  <c r="H175" i="4"/>
  <c r="J175" i="4" s="1"/>
  <c r="B175" i="4"/>
  <c r="I174" i="4"/>
  <c r="H174" i="4"/>
  <c r="J174" i="4" s="1"/>
  <c r="B174" i="4"/>
  <c r="I173" i="4"/>
  <c r="H173" i="4"/>
  <c r="J173" i="4" s="1"/>
  <c r="B173" i="4"/>
  <c r="I172" i="4"/>
  <c r="H172" i="4"/>
  <c r="J172" i="4" s="1"/>
  <c r="B172" i="4"/>
  <c r="I171" i="4"/>
  <c r="H171" i="4"/>
  <c r="J171" i="4" s="1"/>
  <c r="B171" i="4"/>
  <c r="I170" i="4"/>
  <c r="H170" i="4"/>
  <c r="J170" i="4" s="1"/>
  <c r="B170" i="4"/>
  <c r="I169" i="4"/>
  <c r="H169" i="4"/>
  <c r="J169" i="4" s="1"/>
  <c r="B169" i="4"/>
  <c r="I168" i="4"/>
  <c r="H168" i="4"/>
  <c r="J168" i="4" s="1"/>
  <c r="B168" i="4"/>
  <c r="I167" i="4"/>
  <c r="H167" i="4"/>
  <c r="J167" i="4" s="1"/>
  <c r="B167" i="4"/>
  <c r="I166" i="4"/>
  <c r="H166" i="4"/>
  <c r="J166" i="4" s="1"/>
  <c r="B166" i="4"/>
  <c r="I165" i="4"/>
  <c r="H165" i="4"/>
  <c r="J165" i="4" s="1"/>
  <c r="B165" i="4"/>
  <c r="I164" i="4"/>
  <c r="H164" i="4"/>
  <c r="J164" i="4" s="1"/>
  <c r="B164" i="4"/>
  <c r="I163" i="4"/>
  <c r="H163" i="4"/>
  <c r="J163" i="4" s="1"/>
  <c r="B163" i="4"/>
  <c r="I162" i="4"/>
  <c r="H162" i="4"/>
  <c r="J162" i="4" s="1"/>
  <c r="B162" i="4"/>
  <c r="I161" i="4"/>
  <c r="H161" i="4"/>
  <c r="J161" i="4" s="1"/>
  <c r="B161" i="4"/>
  <c r="I160" i="4"/>
  <c r="H160" i="4"/>
  <c r="J160" i="4" s="1"/>
  <c r="B160" i="4"/>
  <c r="I159" i="4"/>
  <c r="H159" i="4"/>
  <c r="J159" i="4" s="1"/>
  <c r="B159" i="4"/>
  <c r="I158" i="4"/>
  <c r="H158" i="4"/>
  <c r="J158" i="4" s="1"/>
  <c r="B158" i="4"/>
  <c r="I157" i="4"/>
  <c r="H157" i="4"/>
  <c r="J157" i="4" s="1"/>
  <c r="B157" i="4"/>
  <c r="I156" i="4"/>
  <c r="H156" i="4"/>
  <c r="J156" i="4" s="1"/>
  <c r="B156" i="4"/>
  <c r="I155" i="4"/>
  <c r="H155" i="4"/>
  <c r="J155" i="4" s="1"/>
  <c r="B155" i="4"/>
  <c r="I154" i="4"/>
  <c r="H154" i="4"/>
  <c r="J154" i="4" s="1"/>
  <c r="B154" i="4"/>
  <c r="I153" i="4"/>
  <c r="H153" i="4"/>
  <c r="J153" i="4" s="1"/>
  <c r="B153" i="4"/>
  <c r="I152" i="4"/>
  <c r="H152" i="4"/>
  <c r="J152" i="4" s="1"/>
  <c r="B152" i="4"/>
  <c r="I151" i="4"/>
  <c r="H151" i="4"/>
  <c r="J151" i="4" s="1"/>
  <c r="B151" i="4"/>
  <c r="I150" i="4"/>
  <c r="H150" i="4"/>
  <c r="J150" i="4" s="1"/>
  <c r="B150" i="4"/>
  <c r="I149" i="4"/>
  <c r="H149" i="4"/>
  <c r="J149" i="4" s="1"/>
  <c r="B149" i="4"/>
  <c r="I148" i="4"/>
  <c r="H148" i="4"/>
  <c r="J148" i="4" s="1"/>
  <c r="B148" i="4"/>
  <c r="I147" i="4"/>
  <c r="H147" i="4"/>
  <c r="J147" i="4" s="1"/>
  <c r="B147" i="4"/>
  <c r="I146" i="4"/>
  <c r="H146" i="4"/>
  <c r="J146" i="4" s="1"/>
  <c r="B146" i="4"/>
  <c r="I145" i="4"/>
  <c r="H145" i="4"/>
  <c r="J145" i="4" s="1"/>
  <c r="B145" i="4"/>
  <c r="I144" i="4"/>
  <c r="H144" i="4"/>
  <c r="J144" i="4" s="1"/>
  <c r="B144" i="4"/>
  <c r="I143" i="4"/>
  <c r="H143" i="4"/>
  <c r="J143" i="4" s="1"/>
  <c r="B143" i="4"/>
  <c r="I142" i="4"/>
  <c r="H142" i="4"/>
  <c r="J142" i="4" s="1"/>
  <c r="B142" i="4"/>
  <c r="I141" i="4"/>
  <c r="H141" i="4"/>
  <c r="J141" i="4" s="1"/>
  <c r="B141" i="4"/>
  <c r="I140" i="4"/>
  <c r="H140" i="4"/>
  <c r="J140" i="4" s="1"/>
  <c r="B140" i="4"/>
  <c r="I139" i="4"/>
  <c r="H139" i="4"/>
  <c r="J139" i="4" s="1"/>
  <c r="B139" i="4"/>
  <c r="I138" i="4"/>
  <c r="H138" i="4"/>
  <c r="J138" i="4" s="1"/>
  <c r="B138" i="4"/>
  <c r="I137" i="4"/>
  <c r="H137" i="4"/>
  <c r="J137" i="4" s="1"/>
  <c r="B137" i="4"/>
  <c r="I136" i="4"/>
  <c r="H136" i="4"/>
  <c r="J136" i="4" s="1"/>
  <c r="B136" i="4"/>
  <c r="I135" i="4"/>
  <c r="H135" i="4"/>
  <c r="J135" i="4" s="1"/>
  <c r="B135" i="4"/>
  <c r="I134" i="4"/>
  <c r="H134" i="4"/>
  <c r="J134" i="4" s="1"/>
  <c r="B134" i="4"/>
  <c r="I133" i="4"/>
  <c r="H133" i="4"/>
  <c r="J133" i="4" s="1"/>
  <c r="B133" i="4"/>
  <c r="I132" i="4"/>
  <c r="H132" i="4"/>
  <c r="J132" i="4" s="1"/>
  <c r="B132" i="4"/>
  <c r="I131" i="4"/>
  <c r="H131" i="4"/>
  <c r="J131" i="4" s="1"/>
  <c r="B131" i="4"/>
  <c r="I130" i="4"/>
  <c r="H130" i="4"/>
  <c r="J130" i="4" s="1"/>
  <c r="B130" i="4"/>
  <c r="I129" i="4"/>
  <c r="H129" i="4"/>
  <c r="J129" i="4" s="1"/>
  <c r="B129" i="4"/>
  <c r="I128" i="4"/>
  <c r="H128" i="4"/>
  <c r="J128" i="4" s="1"/>
  <c r="B128" i="4"/>
  <c r="I127" i="4"/>
  <c r="H127" i="4"/>
  <c r="J127" i="4" s="1"/>
  <c r="B127" i="4"/>
  <c r="I126" i="4"/>
  <c r="H126" i="4"/>
  <c r="J126" i="4" s="1"/>
  <c r="B126" i="4"/>
  <c r="I125" i="4"/>
  <c r="H125" i="4"/>
  <c r="J125" i="4" s="1"/>
  <c r="B125" i="4"/>
  <c r="I124" i="4"/>
  <c r="H124" i="4"/>
  <c r="J124" i="4" s="1"/>
  <c r="B124" i="4"/>
  <c r="I123" i="4"/>
  <c r="H123" i="4"/>
  <c r="J123" i="4" s="1"/>
  <c r="B123" i="4"/>
  <c r="I122" i="4"/>
  <c r="H122" i="4"/>
  <c r="J122" i="4" s="1"/>
  <c r="B122" i="4"/>
  <c r="I121" i="4"/>
  <c r="H121" i="4"/>
  <c r="J121" i="4" s="1"/>
  <c r="B121" i="4"/>
  <c r="I120" i="4"/>
  <c r="H120" i="4"/>
  <c r="J120" i="4" s="1"/>
  <c r="B120" i="4"/>
  <c r="I119" i="4"/>
  <c r="H119" i="4"/>
  <c r="J119" i="4" s="1"/>
  <c r="B119" i="4"/>
  <c r="I118" i="4"/>
  <c r="H118" i="4"/>
  <c r="J118" i="4" s="1"/>
  <c r="B118" i="4"/>
  <c r="I117" i="4"/>
  <c r="H117" i="4"/>
  <c r="J117" i="4" s="1"/>
  <c r="B117" i="4"/>
  <c r="I116" i="4"/>
  <c r="H116" i="4"/>
  <c r="J116" i="4" s="1"/>
  <c r="B116" i="4"/>
  <c r="I115" i="4"/>
  <c r="H115" i="4"/>
  <c r="J115" i="4" s="1"/>
  <c r="B115" i="4"/>
  <c r="I114" i="4"/>
  <c r="H114" i="4"/>
  <c r="J114" i="4" s="1"/>
  <c r="B114" i="4"/>
  <c r="I113" i="4"/>
  <c r="H113" i="4"/>
  <c r="J113" i="4" s="1"/>
  <c r="B113" i="4"/>
  <c r="I112" i="4"/>
  <c r="H112" i="4"/>
  <c r="J112" i="4" s="1"/>
  <c r="B112" i="4"/>
  <c r="I111" i="4"/>
  <c r="H111" i="4"/>
  <c r="J111" i="4" s="1"/>
  <c r="B111" i="4"/>
  <c r="I110" i="4"/>
  <c r="H110" i="4"/>
  <c r="J110" i="4" s="1"/>
  <c r="B110" i="4"/>
  <c r="I109" i="4"/>
  <c r="H109" i="4"/>
  <c r="J109" i="4" s="1"/>
  <c r="B109" i="4"/>
  <c r="I108" i="4"/>
  <c r="H108" i="4"/>
  <c r="J108" i="4" s="1"/>
  <c r="B108" i="4"/>
  <c r="I107" i="4"/>
  <c r="H107" i="4"/>
  <c r="J107" i="4" s="1"/>
  <c r="B107" i="4"/>
  <c r="I106" i="4"/>
  <c r="H106" i="4"/>
  <c r="J106" i="4" s="1"/>
  <c r="B106" i="4"/>
  <c r="I105" i="4"/>
  <c r="H105" i="4"/>
  <c r="J105" i="4" s="1"/>
  <c r="B105" i="4"/>
  <c r="I104" i="4"/>
  <c r="H104" i="4"/>
  <c r="J104" i="4" s="1"/>
  <c r="B104" i="4"/>
  <c r="I103" i="4"/>
  <c r="H103" i="4"/>
  <c r="J103" i="4" s="1"/>
  <c r="B103" i="4"/>
  <c r="I102" i="4"/>
  <c r="H102" i="4"/>
  <c r="J102" i="4" s="1"/>
  <c r="B102" i="4"/>
  <c r="I101" i="4"/>
  <c r="H101" i="4"/>
  <c r="J101" i="4" s="1"/>
  <c r="B101" i="4"/>
  <c r="I100" i="4"/>
  <c r="H100" i="4"/>
  <c r="J100" i="4" s="1"/>
  <c r="B100" i="4"/>
  <c r="I99" i="4"/>
  <c r="H99" i="4"/>
  <c r="J99" i="4" s="1"/>
  <c r="B99" i="4"/>
  <c r="I98" i="4"/>
  <c r="J98" i="4" s="1"/>
  <c r="H98" i="4"/>
  <c r="B98" i="4"/>
  <c r="I97" i="4"/>
  <c r="H97" i="4"/>
  <c r="J97" i="4" s="1"/>
  <c r="B97" i="4"/>
  <c r="I96" i="4"/>
  <c r="H96" i="4"/>
  <c r="J96" i="4" s="1"/>
  <c r="B96" i="4"/>
  <c r="I95" i="4"/>
  <c r="H95" i="4"/>
  <c r="J95" i="4" s="1"/>
  <c r="B95" i="4"/>
  <c r="I94" i="4"/>
  <c r="H94" i="4"/>
  <c r="J94" i="4" s="1"/>
  <c r="B94" i="4"/>
  <c r="I93" i="4"/>
  <c r="H93" i="4"/>
  <c r="J93" i="4" s="1"/>
  <c r="B93" i="4"/>
  <c r="I92" i="4"/>
  <c r="H92" i="4"/>
  <c r="J92" i="4" s="1"/>
  <c r="B92" i="4"/>
  <c r="I91" i="4"/>
  <c r="H91" i="4"/>
  <c r="J91" i="4" s="1"/>
  <c r="B91" i="4"/>
  <c r="I90" i="4"/>
  <c r="H90" i="4"/>
  <c r="J90" i="4" s="1"/>
  <c r="B90" i="4"/>
  <c r="I89" i="4"/>
  <c r="H89" i="4"/>
  <c r="J89" i="4" s="1"/>
  <c r="B89" i="4"/>
  <c r="I88" i="4"/>
  <c r="H88" i="4"/>
  <c r="J88" i="4" s="1"/>
  <c r="B88" i="4"/>
  <c r="I87" i="4"/>
  <c r="H87" i="4"/>
  <c r="J87" i="4" s="1"/>
  <c r="B87" i="4"/>
  <c r="I86" i="4"/>
  <c r="H86" i="4"/>
  <c r="J86" i="4" s="1"/>
  <c r="B86" i="4"/>
  <c r="I85" i="4"/>
  <c r="H85" i="4"/>
  <c r="J85" i="4" s="1"/>
  <c r="B85" i="4"/>
  <c r="I84" i="4"/>
  <c r="H84" i="4"/>
  <c r="J84" i="4" s="1"/>
  <c r="B84" i="4"/>
  <c r="I83" i="4"/>
  <c r="H83" i="4"/>
  <c r="J83" i="4" s="1"/>
  <c r="B83" i="4"/>
  <c r="I82" i="4"/>
  <c r="H82" i="4"/>
  <c r="J82" i="4" s="1"/>
  <c r="B82" i="4"/>
  <c r="I81" i="4"/>
  <c r="H81" i="4"/>
  <c r="J81" i="4" s="1"/>
  <c r="B81" i="4"/>
  <c r="I80" i="4"/>
  <c r="H80" i="4"/>
  <c r="J80" i="4" s="1"/>
  <c r="B80" i="4"/>
  <c r="I79" i="4"/>
  <c r="H79" i="4"/>
  <c r="J79" i="4" s="1"/>
  <c r="B79" i="4"/>
  <c r="I78" i="4"/>
  <c r="H78" i="4"/>
  <c r="J78" i="4" s="1"/>
  <c r="B78" i="4"/>
  <c r="I77" i="4"/>
  <c r="H77" i="4"/>
  <c r="J77" i="4" s="1"/>
  <c r="B77" i="4"/>
  <c r="I76" i="4"/>
  <c r="H76" i="4"/>
  <c r="J76" i="4" s="1"/>
  <c r="B76" i="4"/>
  <c r="I75" i="4"/>
  <c r="H75" i="4"/>
  <c r="J75" i="4" s="1"/>
  <c r="B75" i="4"/>
  <c r="I74" i="4"/>
  <c r="H74" i="4"/>
  <c r="J74" i="4" s="1"/>
  <c r="B74" i="4"/>
  <c r="I73" i="4"/>
  <c r="H73" i="4"/>
  <c r="J73" i="4" s="1"/>
  <c r="B73" i="4"/>
  <c r="I72" i="4"/>
  <c r="H72" i="4"/>
  <c r="J72" i="4" s="1"/>
  <c r="B72" i="4"/>
  <c r="I71" i="4"/>
  <c r="H71" i="4"/>
  <c r="J71" i="4" s="1"/>
  <c r="B71" i="4"/>
  <c r="I70" i="4"/>
  <c r="H70" i="4"/>
  <c r="J70" i="4" s="1"/>
  <c r="B70" i="4"/>
  <c r="I69" i="4"/>
  <c r="H69" i="4"/>
  <c r="J69" i="4" s="1"/>
  <c r="B69" i="4"/>
  <c r="I68" i="4"/>
  <c r="H68" i="4"/>
  <c r="J68" i="4" s="1"/>
  <c r="B68" i="4"/>
  <c r="I67" i="4"/>
  <c r="H67" i="4"/>
  <c r="J67" i="4" s="1"/>
  <c r="B67" i="4"/>
  <c r="I66" i="4"/>
  <c r="H66" i="4"/>
  <c r="J66" i="4" s="1"/>
  <c r="B66" i="4"/>
  <c r="I65" i="4"/>
  <c r="H65" i="4"/>
  <c r="J65" i="4" s="1"/>
  <c r="B65" i="4"/>
  <c r="I64" i="4"/>
  <c r="H64" i="4"/>
  <c r="J64" i="4" s="1"/>
  <c r="B64" i="4"/>
  <c r="I63" i="4"/>
  <c r="H63" i="4"/>
  <c r="J63" i="4" s="1"/>
  <c r="B63" i="4"/>
  <c r="I62" i="4"/>
  <c r="H62" i="4"/>
  <c r="J62" i="4" s="1"/>
  <c r="B62" i="4"/>
  <c r="I61" i="4"/>
  <c r="H61" i="4"/>
  <c r="J61" i="4" s="1"/>
  <c r="B61" i="4"/>
  <c r="I60" i="4"/>
  <c r="H60" i="4"/>
  <c r="J60" i="4" s="1"/>
  <c r="B60" i="4"/>
  <c r="I59" i="4"/>
  <c r="H59" i="4"/>
  <c r="J59" i="4" s="1"/>
  <c r="B59" i="4"/>
  <c r="I58" i="4"/>
  <c r="H58" i="4"/>
  <c r="J58" i="4" s="1"/>
  <c r="B58" i="4"/>
  <c r="I57" i="4"/>
  <c r="H57" i="4"/>
  <c r="J57" i="4" s="1"/>
  <c r="B57" i="4"/>
  <c r="I56" i="4"/>
  <c r="H56" i="4"/>
  <c r="J56" i="4" s="1"/>
  <c r="B56" i="4"/>
  <c r="I55" i="4"/>
  <c r="H55" i="4"/>
  <c r="J55" i="4" s="1"/>
  <c r="B55" i="4"/>
  <c r="I54" i="4"/>
  <c r="H54" i="4"/>
  <c r="J54" i="4" s="1"/>
  <c r="B54" i="4"/>
  <c r="I53" i="4"/>
  <c r="H53" i="4"/>
  <c r="J53" i="4" s="1"/>
  <c r="B53" i="4"/>
  <c r="I52" i="4"/>
  <c r="H52" i="4"/>
  <c r="J52" i="4" s="1"/>
  <c r="B52" i="4"/>
  <c r="I51" i="4"/>
  <c r="H51" i="4"/>
  <c r="J51" i="4" s="1"/>
  <c r="B51" i="4"/>
  <c r="I50" i="4"/>
  <c r="J50" i="4" s="1"/>
  <c r="H50" i="4"/>
  <c r="B50" i="4"/>
  <c r="I49" i="4"/>
  <c r="H49" i="4"/>
  <c r="J49" i="4" s="1"/>
  <c r="B49" i="4"/>
  <c r="I48" i="4"/>
  <c r="H48" i="4"/>
  <c r="J48" i="4" s="1"/>
  <c r="B48" i="4"/>
  <c r="I47" i="4"/>
  <c r="H47" i="4"/>
  <c r="J47" i="4" s="1"/>
  <c r="B47" i="4"/>
  <c r="I46" i="4"/>
  <c r="H46" i="4"/>
  <c r="J46" i="4" s="1"/>
  <c r="B46" i="4"/>
  <c r="I45" i="4"/>
  <c r="H45" i="4"/>
  <c r="J45" i="4" s="1"/>
  <c r="B45" i="4"/>
  <c r="I44" i="4"/>
  <c r="H44" i="4"/>
  <c r="J44" i="4" s="1"/>
  <c r="B44" i="4"/>
  <c r="I43" i="4"/>
  <c r="H43" i="4"/>
  <c r="J43" i="4" s="1"/>
  <c r="B43" i="4"/>
  <c r="I42" i="4"/>
  <c r="H42" i="4"/>
  <c r="J42" i="4" s="1"/>
  <c r="B42" i="4"/>
  <c r="I41" i="4"/>
  <c r="H41" i="4"/>
  <c r="J41" i="4" s="1"/>
  <c r="B41" i="4"/>
  <c r="I40" i="4"/>
  <c r="H40" i="4"/>
  <c r="J40" i="4" s="1"/>
  <c r="B40" i="4"/>
  <c r="I39" i="4"/>
  <c r="H39" i="4"/>
  <c r="J39" i="4" s="1"/>
  <c r="B39" i="4"/>
  <c r="I38" i="4"/>
  <c r="H38" i="4"/>
  <c r="J38" i="4" s="1"/>
  <c r="B38" i="4"/>
  <c r="I37" i="4"/>
  <c r="H37" i="4"/>
  <c r="J37" i="4" s="1"/>
  <c r="B37" i="4"/>
  <c r="I36" i="4"/>
  <c r="H36" i="4"/>
  <c r="J36" i="4" s="1"/>
  <c r="B36" i="4"/>
  <c r="I35" i="4"/>
  <c r="H35" i="4"/>
  <c r="J35" i="4" s="1"/>
  <c r="B35" i="4"/>
  <c r="I34" i="4"/>
  <c r="H34" i="4"/>
  <c r="J34" i="4" s="1"/>
  <c r="B34" i="4"/>
  <c r="I33" i="4"/>
  <c r="H33" i="4"/>
  <c r="J33" i="4" s="1"/>
  <c r="B33" i="4"/>
  <c r="I32" i="4"/>
  <c r="H32" i="4"/>
  <c r="J32" i="4" s="1"/>
  <c r="B32" i="4"/>
  <c r="I31" i="4"/>
  <c r="H31" i="4"/>
  <c r="J31" i="4" s="1"/>
  <c r="B31" i="4"/>
  <c r="I30" i="4"/>
  <c r="H30" i="4"/>
  <c r="J30" i="4" s="1"/>
  <c r="B30" i="4"/>
  <c r="I29" i="4"/>
  <c r="H29" i="4"/>
  <c r="J29" i="4" s="1"/>
  <c r="B29" i="4"/>
  <c r="I28" i="4"/>
  <c r="H28" i="4"/>
  <c r="J28" i="4" s="1"/>
  <c r="B28" i="4"/>
  <c r="I27" i="4"/>
  <c r="H27" i="4"/>
  <c r="J27" i="4" s="1"/>
  <c r="B27" i="4"/>
  <c r="I26" i="4"/>
  <c r="H26" i="4"/>
  <c r="J26" i="4" s="1"/>
  <c r="B26" i="4"/>
  <c r="I25" i="4"/>
  <c r="H25" i="4"/>
  <c r="J25" i="4" s="1"/>
  <c r="B25" i="4"/>
  <c r="I24" i="4"/>
  <c r="H24" i="4"/>
  <c r="J24" i="4" s="1"/>
  <c r="B24" i="4"/>
  <c r="I23" i="4"/>
  <c r="H23" i="4"/>
  <c r="J23" i="4" s="1"/>
  <c r="B23" i="4"/>
  <c r="I22" i="4"/>
  <c r="H22" i="4"/>
  <c r="J22" i="4" s="1"/>
  <c r="B22" i="4"/>
  <c r="I21" i="4"/>
  <c r="H21" i="4"/>
  <c r="J21" i="4" s="1"/>
  <c r="B21" i="4"/>
  <c r="I20" i="4"/>
  <c r="H20" i="4"/>
  <c r="J20" i="4" s="1"/>
  <c r="B20" i="4"/>
  <c r="I19" i="4"/>
  <c r="H19" i="4"/>
  <c r="J19" i="4" s="1"/>
  <c r="B19" i="4"/>
  <c r="I18" i="4"/>
  <c r="H18" i="4"/>
  <c r="J18" i="4" s="1"/>
  <c r="B18" i="4"/>
  <c r="I17" i="4"/>
  <c r="H17" i="4"/>
  <c r="J17" i="4" s="1"/>
  <c r="B17" i="4"/>
  <c r="I16" i="4"/>
  <c r="H16" i="4"/>
  <c r="J16" i="4" s="1"/>
  <c r="B16" i="4"/>
  <c r="I15" i="4"/>
  <c r="H15" i="4"/>
  <c r="J15" i="4" s="1"/>
  <c r="B15" i="4"/>
  <c r="I14" i="4"/>
  <c r="H14" i="4"/>
  <c r="J14" i="4" s="1"/>
  <c r="B14" i="4"/>
  <c r="I13" i="4"/>
  <c r="H13" i="4"/>
  <c r="J13" i="4" s="1"/>
  <c r="B13" i="4"/>
  <c r="I12" i="4"/>
  <c r="H12" i="4"/>
  <c r="J12" i="4" s="1"/>
  <c r="B12" i="4"/>
  <c r="I11" i="4"/>
  <c r="H11" i="4"/>
  <c r="J11" i="4" s="1"/>
  <c r="B11" i="4"/>
  <c r="I10" i="4"/>
  <c r="H10" i="4"/>
  <c r="J10" i="4" s="1"/>
  <c r="B10" i="4"/>
  <c r="I9" i="4"/>
  <c r="H9" i="4"/>
  <c r="J9" i="4" s="1"/>
  <c r="B9" i="4"/>
  <c r="I8" i="4"/>
  <c r="H8" i="4"/>
  <c r="J8" i="4" s="1"/>
  <c r="B8" i="4"/>
  <c r="I7" i="4"/>
  <c r="H7" i="4"/>
  <c r="J7" i="4" s="1"/>
  <c r="B7" i="4"/>
  <c r="I6" i="4"/>
  <c r="H6" i="4"/>
  <c r="J6" i="4" s="1"/>
  <c r="B6" i="4"/>
  <c r="I5" i="4"/>
  <c r="H5" i="4"/>
  <c r="J5" i="4" s="1"/>
  <c r="B5" i="4"/>
  <c r="I4" i="4"/>
  <c r="H4" i="4"/>
  <c r="J4" i="4" s="1"/>
  <c r="B4" i="4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5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K9" i="5" l="1"/>
  <c r="E33" i="7" s="1"/>
  <c r="D33" i="7"/>
  <c r="G34" i="7" s="1"/>
  <c r="K11" i="5"/>
  <c r="E35" i="7" s="1"/>
  <c r="D35" i="7"/>
  <c r="K12" i="5"/>
  <c r="E36" i="7" s="1"/>
  <c r="D36" i="7"/>
  <c r="F36" i="7" s="1"/>
  <c r="K33" i="7"/>
  <c r="I5" i="7"/>
  <c r="E5" i="7"/>
  <c r="B8" i="7" s="1"/>
  <c r="J33" i="7"/>
  <c r="L5" i="7"/>
  <c r="K18" i="5"/>
  <c r="L34" i="7" s="1"/>
  <c r="K34" i="7"/>
  <c r="M34" i="7" s="1"/>
  <c r="K20" i="5"/>
  <c r="L36" i="7" s="1"/>
  <c r="K36" i="7"/>
  <c r="K22" i="5"/>
  <c r="L38" i="7" s="1"/>
  <c r="K38" i="7"/>
  <c r="F33" i="7"/>
  <c r="F35" i="7"/>
  <c r="G35" i="7"/>
  <c r="N37" i="7"/>
  <c r="N35" i="7"/>
  <c r="J18" i="5"/>
  <c r="J22" i="5"/>
  <c r="J11" i="5"/>
  <c r="J20" i="5"/>
  <c r="K10" i="5"/>
  <c r="E34" i="7" s="1"/>
  <c r="F34" i="7" s="1"/>
  <c r="K17" i="5"/>
  <c r="L33" i="7" s="1"/>
  <c r="M33" i="7" s="1"/>
  <c r="K21" i="5"/>
  <c r="L37" i="7" s="1"/>
  <c r="M37" i="7" s="1"/>
  <c r="K19" i="5"/>
  <c r="L35" i="7" s="1"/>
  <c r="M35" i="7" s="1"/>
  <c r="J10" i="5"/>
  <c r="J12" i="5"/>
  <c r="J21" i="5"/>
  <c r="J19" i="5"/>
  <c r="F12" i="5"/>
  <c r="F21" i="5"/>
  <c r="F10" i="5"/>
  <c r="F17" i="5"/>
  <c r="F19" i="5"/>
  <c r="F22" i="5"/>
  <c r="F11" i="5"/>
  <c r="F20" i="5"/>
  <c r="F18" i="5"/>
  <c r="G76" i="6"/>
  <c r="G79" i="6"/>
  <c r="G85" i="6"/>
  <c r="G121" i="6"/>
  <c r="G157" i="6"/>
  <c r="G193" i="6"/>
  <c r="G229" i="6"/>
  <c r="G265" i="6"/>
  <c r="G301" i="6"/>
  <c r="G325" i="6"/>
  <c r="E14" i="6"/>
  <c r="E9" i="6" s="1"/>
  <c r="E17" i="6"/>
  <c r="E20" i="6"/>
  <c r="E23" i="6"/>
  <c r="E26" i="6"/>
  <c r="E29" i="6"/>
  <c r="E32" i="6"/>
  <c r="E35" i="6"/>
  <c r="E38" i="6"/>
  <c r="E41" i="6"/>
  <c r="E44" i="6"/>
  <c r="E47" i="6"/>
  <c r="E50" i="6"/>
  <c r="E53" i="6"/>
  <c r="E56" i="6"/>
  <c r="E59" i="6"/>
  <c r="E62" i="6"/>
  <c r="E65" i="6"/>
  <c r="E68" i="6"/>
  <c r="E71" i="6"/>
  <c r="E74" i="6"/>
  <c r="E77" i="6"/>
  <c r="E80" i="6"/>
  <c r="E83" i="6"/>
  <c r="E86" i="6"/>
  <c r="E89" i="6"/>
  <c r="E92" i="6"/>
  <c r="E95" i="6"/>
  <c r="E98" i="6"/>
  <c r="E101" i="6"/>
  <c r="E104" i="6"/>
  <c r="E107" i="6"/>
  <c r="E113" i="6"/>
  <c r="E116" i="6"/>
  <c r="E119" i="6"/>
  <c r="E122" i="6"/>
  <c r="E125" i="6"/>
  <c r="E128" i="6"/>
  <c r="E131" i="6"/>
  <c r="E137" i="6"/>
  <c r="E140" i="6"/>
  <c r="E143" i="6"/>
  <c r="E149" i="6"/>
  <c r="E152" i="6"/>
  <c r="E155" i="6"/>
  <c r="E158" i="6"/>
  <c r="E161" i="6"/>
  <c r="E164" i="6"/>
  <c r="E167" i="6"/>
  <c r="E173" i="6"/>
  <c r="E176" i="6"/>
  <c r="E194" i="6"/>
  <c r="E230" i="6"/>
  <c r="E266" i="6"/>
  <c r="E302" i="6"/>
  <c r="E338" i="6"/>
  <c r="F71" i="6"/>
  <c r="F74" i="6"/>
  <c r="F77" i="6"/>
  <c r="F80" i="6"/>
  <c r="F83" i="6"/>
  <c r="F86" i="6"/>
  <c r="F89" i="6"/>
  <c r="F92" i="6"/>
  <c r="F95" i="6"/>
  <c r="F98" i="6"/>
  <c r="F101" i="6"/>
  <c r="F104" i="6"/>
  <c r="F107" i="6"/>
  <c r="F110" i="6"/>
  <c r="F113" i="6"/>
  <c r="F116" i="6"/>
  <c r="F119" i="6"/>
  <c r="F122" i="6"/>
  <c r="F125" i="6"/>
  <c r="F128" i="6"/>
  <c r="F131" i="6"/>
  <c r="F134" i="6"/>
  <c r="F137" i="6"/>
  <c r="F140" i="6"/>
  <c r="F143" i="6"/>
  <c r="F146" i="6"/>
  <c r="F149" i="6"/>
  <c r="F152" i="6"/>
  <c r="F155" i="6"/>
  <c r="F158" i="6"/>
  <c r="F161" i="6"/>
  <c r="F164" i="6"/>
  <c r="F167" i="6"/>
  <c r="F170" i="6"/>
  <c r="F173" i="6"/>
  <c r="G98" i="6"/>
  <c r="G101" i="6"/>
  <c r="G104" i="6"/>
  <c r="G107" i="6"/>
  <c r="G110" i="6"/>
  <c r="G116" i="6"/>
  <c r="G119" i="6"/>
  <c r="G122" i="6"/>
  <c r="G125" i="6"/>
  <c r="G128" i="6"/>
  <c r="G131" i="6"/>
  <c r="G134" i="6"/>
  <c r="G137" i="6"/>
  <c r="G140" i="6"/>
  <c r="G143" i="6"/>
  <c r="G146" i="6"/>
  <c r="G149" i="6"/>
  <c r="G152" i="6"/>
  <c r="G155" i="6"/>
  <c r="G158" i="6"/>
  <c r="G161" i="6"/>
  <c r="G164" i="6"/>
  <c r="G167" i="6"/>
  <c r="G170" i="6"/>
  <c r="G173" i="6"/>
  <c r="G176" i="6"/>
  <c r="G179" i="6"/>
  <c r="G182" i="6"/>
  <c r="G185" i="6"/>
  <c r="G188" i="6"/>
  <c r="G191" i="6"/>
  <c r="G194" i="6"/>
  <c r="G197" i="6"/>
  <c r="G200" i="6"/>
  <c r="G203" i="6"/>
  <c r="G206" i="6"/>
  <c r="G209" i="6"/>
  <c r="G212" i="6"/>
  <c r="G215" i="6"/>
  <c r="G218" i="6"/>
  <c r="G224" i="6"/>
  <c r="G227" i="6"/>
  <c r="G230" i="6"/>
  <c r="G233" i="6"/>
  <c r="G236" i="6"/>
  <c r="G239" i="6"/>
  <c r="G242" i="6"/>
  <c r="G245" i="6"/>
  <c r="G248" i="6"/>
  <c r="G251" i="6"/>
  <c r="G254" i="6"/>
  <c r="G260" i="6"/>
  <c r="G263" i="6"/>
  <c r="G266" i="6"/>
  <c r="G269" i="6"/>
  <c r="G272" i="6"/>
  <c r="G275" i="6"/>
  <c r="G278" i="6"/>
  <c r="G281" i="6"/>
  <c r="G284" i="6"/>
  <c r="G287" i="6"/>
  <c r="G290" i="6"/>
  <c r="G293" i="6"/>
  <c r="G296" i="6"/>
  <c r="G299" i="6"/>
  <c r="G302" i="6"/>
  <c r="G305" i="6"/>
  <c r="G308" i="6"/>
  <c r="G311" i="6"/>
  <c r="G314" i="6"/>
  <c r="G317" i="6"/>
  <c r="G320" i="6"/>
  <c r="G323" i="6"/>
  <c r="G326" i="6"/>
  <c r="G332" i="6"/>
  <c r="G335" i="6"/>
  <c r="G338" i="6"/>
  <c r="G341" i="6"/>
  <c r="G344" i="6"/>
  <c r="F272" i="6"/>
  <c r="G337" i="6"/>
  <c r="E201" i="6"/>
  <c r="E204" i="6"/>
  <c r="E207" i="6"/>
  <c r="E210" i="6"/>
  <c r="E213" i="6"/>
  <c r="E216" i="6"/>
  <c r="E219" i="6"/>
  <c r="E222" i="6"/>
  <c r="E225" i="6"/>
  <c r="E228" i="6"/>
  <c r="E231" i="6"/>
  <c r="E234" i="6"/>
  <c r="E237" i="6"/>
  <c r="E240" i="6"/>
  <c r="E243" i="6"/>
  <c r="E246" i="6"/>
  <c r="E249" i="6"/>
  <c r="E252" i="6"/>
  <c r="E255" i="6"/>
  <c r="E258" i="6"/>
  <c r="E261" i="6"/>
  <c r="E264" i="6"/>
  <c r="E267" i="6"/>
  <c r="E270" i="6"/>
  <c r="E273" i="6"/>
  <c r="E276" i="6"/>
  <c r="E279" i="6"/>
  <c r="E282" i="6"/>
  <c r="E285" i="6"/>
  <c r="E288" i="6"/>
  <c r="E291" i="6"/>
  <c r="E294" i="6"/>
  <c r="E297" i="6"/>
  <c r="E300" i="6"/>
  <c r="E303" i="6"/>
  <c r="E306" i="6"/>
  <c r="E309" i="6"/>
  <c r="E312" i="6"/>
  <c r="E315" i="6"/>
  <c r="E318" i="6"/>
  <c r="E321" i="6"/>
  <c r="E324" i="6"/>
  <c r="E327" i="6"/>
  <c r="E330" i="6"/>
  <c r="E333" i="6"/>
  <c r="E336" i="6"/>
  <c r="E339" i="6"/>
  <c r="E342" i="6"/>
  <c r="E345" i="6"/>
  <c r="F336" i="6"/>
  <c r="F339" i="6"/>
  <c r="F342" i="6"/>
  <c r="F345" i="6"/>
  <c r="E110" i="6"/>
  <c r="E206" i="6"/>
  <c r="E8" i="6"/>
  <c r="G82" i="6"/>
  <c r="G88" i="6"/>
  <c r="G91" i="6"/>
  <c r="G94" i="6"/>
  <c r="G100" i="6"/>
  <c r="G103" i="6"/>
  <c r="G106" i="6"/>
  <c r="G112" i="6"/>
  <c r="G115" i="6"/>
  <c r="G118" i="6"/>
  <c r="G124" i="6"/>
  <c r="G127" i="6"/>
  <c r="G130" i="6"/>
  <c r="G136" i="6"/>
  <c r="G139" i="6"/>
  <c r="G142" i="6"/>
  <c r="G148" i="6"/>
  <c r="G151" i="6"/>
  <c r="G154" i="6"/>
  <c r="G160" i="6"/>
  <c r="G163" i="6"/>
  <c r="G166" i="6"/>
  <c r="G172" i="6"/>
  <c r="G175" i="6"/>
  <c r="G178" i="6"/>
  <c r="G184" i="6"/>
  <c r="G187" i="6"/>
  <c r="G190" i="6"/>
  <c r="G196" i="6"/>
  <c r="G199" i="6"/>
  <c r="G202" i="6"/>
  <c r="G208" i="6"/>
  <c r="G211" i="6"/>
  <c r="G214" i="6"/>
  <c r="G220" i="6"/>
  <c r="G223" i="6"/>
  <c r="G226" i="6"/>
  <c r="G232" i="6"/>
  <c r="G235" i="6"/>
  <c r="G238" i="6"/>
  <c r="G244" i="6"/>
  <c r="G247" i="6"/>
  <c r="G250" i="6"/>
  <c r="G256" i="6"/>
  <c r="G259" i="6"/>
  <c r="G262" i="6"/>
  <c r="G268" i="6"/>
  <c r="G271" i="6"/>
  <c r="G274" i="6"/>
  <c r="G280" i="6"/>
  <c r="G283" i="6"/>
  <c r="G286" i="6"/>
  <c r="G292" i="6"/>
  <c r="G295" i="6"/>
  <c r="G298" i="6"/>
  <c r="G304" i="6"/>
  <c r="G307" i="6"/>
  <c r="G310" i="6"/>
  <c r="G316" i="6"/>
  <c r="G319" i="6"/>
  <c r="G322" i="6"/>
  <c r="G328" i="6"/>
  <c r="G331" i="6"/>
  <c r="G334" i="6"/>
  <c r="G340" i="6"/>
  <c r="G343" i="6"/>
  <c r="G346" i="6"/>
  <c r="E179" i="6"/>
  <c r="E185" i="6"/>
  <c r="E188" i="6"/>
  <c r="E191" i="6"/>
  <c r="E197" i="6"/>
  <c r="E200" i="6"/>
  <c r="E203" i="6"/>
  <c r="E209" i="6"/>
  <c r="E212" i="6"/>
  <c r="E215" i="6"/>
  <c r="E221" i="6"/>
  <c r="E224" i="6"/>
  <c r="E227" i="6"/>
  <c r="E233" i="6"/>
  <c r="E236" i="6"/>
  <c r="E239" i="6"/>
  <c r="E245" i="6"/>
  <c r="E248" i="6"/>
  <c r="E251" i="6"/>
  <c r="E257" i="6"/>
  <c r="E260" i="6"/>
  <c r="E263" i="6"/>
  <c r="E269" i="6"/>
  <c r="E272" i="6"/>
  <c r="E275" i="6"/>
  <c r="E281" i="6"/>
  <c r="E284" i="6"/>
  <c r="E287" i="6"/>
  <c r="E293" i="6"/>
  <c r="E296" i="6"/>
  <c r="E299" i="6"/>
  <c r="E305" i="6"/>
  <c r="E308" i="6"/>
  <c r="E311" i="6"/>
  <c r="E317" i="6"/>
  <c r="E320" i="6"/>
  <c r="E323" i="6"/>
  <c r="E329" i="6"/>
  <c r="E332" i="6"/>
  <c r="E335" i="6"/>
  <c r="E341" i="6"/>
  <c r="E344" i="6"/>
  <c r="F176" i="6"/>
  <c r="F179" i="6"/>
  <c r="F182" i="6"/>
  <c r="F185" i="6"/>
  <c r="F188" i="6"/>
  <c r="F191" i="6"/>
  <c r="F194" i="6"/>
  <c r="F197" i="6"/>
  <c r="F200" i="6"/>
  <c r="F203" i="6"/>
  <c r="F206" i="6"/>
  <c r="F209" i="6"/>
  <c r="F212" i="6"/>
  <c r="F215" i="6"/>
  <c r="F218" i="6"/>
  <c r="F221" i="6"/>
  <c r="F224" i="6"/>
  <c r="F227" i="6"/>
  <c r="F230" i="6"/>
  <c r="F233" i="6"/>
  <c r="F236" i="6"/>
  <c r="F239" i="6"/>
  <c r="F242" i="6"/>
  <c r="F245" i="6"/>
  <c r="F248" i="6"/>
  <c r="F251" i="6"/>
  <c r="F254" i="6"/>
  <c r="F257" i="6"/>
  <c r="F260" i="6"/>
  <c r="F263" i="6"/>
  <c r="F266" i="6"/>
  <c r="F269" i="6"/>
  <c r="F275" i="6"/>
  <c r="F278" i="6"/>
  <c r="F281" i="6"/>
  <c r="F284" i="6"/>
  <c r="F287" i="6"/>
  <c r="F290" i="6"/>
  <c r="F293" i="6"/>
  <c r="F296" i="6"/>
  <c r="F299" i="6"/>
  <c r="F302" i="6"/>
  <c r="F305" i="6"/>
  <c r="F308" i="6"/>
  <c r="F311" i="6"/>
  <c r="F314" i="6"/>
  <c r="F317" i="6"/>
  <c r="F320" i="6"/>
  <c r="F323" i="6"/>
  <c r="F326" i="6"/>
  <c r="F329" i="6"/>
  <c r="F332" i="6"/>
  <c r="F335" i="6"/>
  <c r="F341" i="6"/>
  <c r="F344" i="6"/>
  <c r="G109" i="6"/>
  <c r="G145" i="6"/>
  <c r="G181" i="6"/>
  <c r="G217" i="6"/>
  <c r="G253" i="6"/>
  <c r="G289" i="6"/>
  <c r="E340" i="6"/>
  <c r="E343" i="6"/>
  <c r="E346" i="6"/>
  <c r="N5" i="4"/>
  <c r="N7" i="4" s="1"/>
  <c r="J4" i="1"/>
  <c r="N5" i="1"/>
  <c r="N7" i="1" s="1"/>
  <c r="M38" i="7" l="1"/>
  <c r="N38" i="7"/>
  <c r="M36" i="7"/>
  <c r="N36" i="7"/>
  <c r="N34" i="7"/>
  <c r="G36" i="7"/>
  <c r="A4" i="6"/>
</calcChain>
</file>

<file path=xl/sharedStrings.xml><?xml version="1.0" encoding="utf-8"?>
<sst xmlns="http://schemas.openxmlformats.org/spreadsheetml/2006/main" count="109" uniqueCount="76">
  <si>
    <t>60 TPD MELTER | SFC PERFORMANCE REVIEW</t>
  </si>
  <si>
    <t>Executive navigation • 1 Sep 2025–31 Jul 2026</t>
  </si>
  <si>
    <t>CONTENTS</t>
  </si>
  <si>
    <t>PURPOSE</t>
  </si>
  <si>
    <t>SFC Executive</t>
  </si>
  <si>
    <t>CEO-ready 3-tonne and 5-tonne SFC bucket comparison, targets, and operating takeaway.</t>
  </si>
  <si>
    <t>Master Data- Energy &amp; SFC Calc</t>
  </si>
  <si>
    <t>Original energy, draw, and SFC calculation source.</t>
  </si>
  <si>
    <t>Draw Data</t>
  </si>
  <si>
    <t>Daily production draw source extracted from SAP.</t>
  </si>
  <si>
    <t>Draw Bucket Analysis</t>
  </si>
  <si>
    <t>Live 3-tonne and 5-tonne bucket calculations.</t>
  </si>
  <si>
    <t>Daily Variation Analysis</t>
  </si>
  <si>
    <t>Daily draw, energy, and SFC deviation analysis.</t>
  </si>
  <si>
    <t>Energy Data &amp; SFC Calc (2)</t>
  </si>
  <si>
    <t>Prepared daily calculation set including draw in tonnes.</t>
  </si>
  <si>
    <t>60 TPD Melter Energy Data</t>
  </si>
  <si>
    <t>Month</t>
  </si>
  <si>
    <t>Date</t>
  </si>
  <si>
    <t>Melter NG 
(SCM)</t>
  </si>
  <si>
    <t>NCV 
(kcal/scm)</t>
  </si>
  <si>
    <t>Melter Boosting 
(kWh)</t>
  </si>
  <si>
    <t>Barrier Boosting 
(kWh)</t>
  </si>
  <si>
    <t>Total Energy</t>
  </si>
  <si>
    <t>Draw(kg)</t>
  </si>
  <si>
    <t>SFC (kcal/kg)</t>
  </si>
  <si>
    <t>Avg SFC (1/9/25- 31/7/26)</t>
  </si>
  <si>
    <t xml:space="preserve">Source : Engineering Services , Susheel Ji </t>
  </si>
  <si>
    <t>SFC PERFORMANCE | EXECUTIVE BUCKET VIEW</t>
  </si>
  <si>
    <t>60 TPD melter • 1 Sep 2025–31 Jul 2026 • Lower SFC is better</t>
  </si>
  <si>
    <t>PERIOD AVG SFC</t>
  </si>
  <si>
    <t>BEST 3T OPERATING BAND</t>
  </si>
  <si>
    <t>SFC REDUCTION: LOW → HIGH DRAW</t>
  </si>
  <si>
    <t>DAYS ANALYSED</t>
  </si>
  <si>
    <t xml:space="preserve">5-TONNE Bucket </t>
  </si>
  <si>
    <t>3-TONNE Bucket</t>
  </si>
  <si>
    <t>5-TONNE DECISION TABLE</t>
  </si>
  <si>
    <t>3-TONNE DECISION TABLE</t>
  </si>
  <si>
    <t>Bucket (t)</t>
  </si>
  <si>
    <t>Days</t>
  </si>
  <si>
    <t>Avg SFC</t>
  </si>
  <si>
    <t>2% target</t>
  </si>
  <si>
    <t>Gap</t>
  </si>
  <si>
    <t>vs prior</t>
  </si>
  <si>
    <t>Draw (Kg)</t>
  </si>
  <si>
    <t>Source: MB51(SAP)</t>
  </si>
  <si>
    <t>Movement Type (101)</t>
  </si>
  <si>
    <t>Glass Given to Quality (SAP)</t>
  </si>
  <si>
    <t>Material Desc</t>
  </si>
  <si>
    <t>MOLTEN GLASS 60 TPD  FLINT -III</t>
  </si>
  <si>
    <t>Material Code</t>
  </si>
  <si>
    <t>MGF3060A0000000000</t>
  </si>
  <si>
    <t>Draw Bucket SFC Analysis</t>
  </si>
  <si>
    <t>60 TPD melter | 1 Sep 2025 to 31 Jul 2026 | inclusive bucket limits</t>
  </si>
  <si>
    <t>SFC is summarized against daily draw in tonnes. The 5-tonne view provides a broad operating comparison, while the 3-tonne view gives finer resolution. Each row uses inclusive lower and upper limits and reports the number of days, minimum, maximum, average, sample standard deviation, and max–min SFC range.</t>
  </si>
  <si>
    <t>5-TONNE DRAW BUCKETS</t>
  </si>
  <si>
    <t>Draw bucket (t)</t>
  </si>
  <si>
    <t>Min SFC</t>
  </si>
  <si>
    <t>Max SFC</t>
  </si>
  <si>
    <t>SFC range</t>
  </si>
  <si>
    <t xml:space="preserve">Bucket </t>
  </si>
  <si>
    <t xml:space="preserve">2% Improvement Target </t>
  </si>
  <si>
    <t>3-TONNE DRAW BUCKETS</t>
  </si>
  <si>
    <t>Draw, Energy &amp; SFC Variation Analysis</t>
  </si>
  <si>
    <t>Daily deviation from the overall average | 1 Sep 2025 to 31 Jul 2026</t>
  </si>
  <si>
    <t>Overall average</t>
  </si>
  <si>
    <t>Value</t>
  </si>
  <si>
    <t>Relationship</t>
  </si>
  <si>
    <t>Correlation (r)</t>
  </si>
  <si>
    <t>Draw (t)</t>
  </si>
  <si>
    <t>Draw % vs Energy %</t>
  </si>
  <si>
    <t>Draw % vs SFC %</t>
  </si>
  <si>
    <t>Draw variation %</t>
  </si>
  <si>
    <t>Energy variation %</t>
  </si>
  <si>
    <t>SFC variation %</t>
  </si>
  <si>
    <t>Draw (tonnes)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</si>
</sst>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_ * #,##0_ ;_ * \-#,##0_ ;_ * &quot;-&quot;??_ ;_ @_ "/>
    <numFmt numFmtId="166" formatCode="_ * #,##0.000_ ;_ * \-#,##0.000_ ;_ * &quot;-&quot;??_ ;_ @_ "/>
    <numFmt numFmtId="167" formatCode="m/yyyy"/>
    <numFmt numFmtId="168" formatCode="0.000"/>
    <numFmt numFmtId="169" formatCode="dd/mmm/yyyy"/>
    <numFmt numFmtId="170" formatCode="0.0%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11"/>
      <color rgb="FF17365D"/>
      <name val="Aptos Narrow"/>
      <family val="2"/>
      <scheme val="minor"/>
    </font>
    <font>
      <i/>
      <sz val="11"/>
      <color rgb="FF5B6573"/>
      <name val="Aptos Narrow"/>
      <family val="2"/>
      <scheme val="minor"/>
    </font>
    <font>
      <i/>
      <sz val="10"/>
      <color rgb="FF5B6573"/>
      <name val="Aptos Narrow"/>
      <family val="2"/>
      <scheme val="minor"/>
    </font>
    <font>
      <b/>
      <sz val="11"/>
      <color rgb="FF12324A"/>
      <name val="Aptos Narrow"/>
      <family val="2"/>
      <scheme val="minor"/>
    </font>
    <font>
      <b/>
      <sz val="9"/>
      <color rgb="FF12324A"/>
      <name val="Aptos Narrow"/>
      <family val="2"/>
      <scheme val="minor"/>
    </font>
    <font>
      <b/>
      <sz val="22"/>
      <color rgb="FF12324A"/>
      <name val="Aptos Narrow"/>
      <family val="2"/>
      <scheme val="minor"/>
    </font>
    <font>
      <sz val="11"/>
      <color rgb="FF4A3A28"/>
      <name val="Aptos Narrow"/>
      <family val="2"/>
      <scheme val="minor"/>
    </font>
    <font>
      <b/>
      <sz val="11"/>
      <color rgb="FF1F6D78"/>
      <name val="Aptos Narrow"/>
      <family val="2"/>
      <scheme val="minor"/>
    </font>
    <font>
      <sz val="11"/>
      <color rgb="FF4F5965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2324A"/>
        <bgColor indexed="64"/>
      </patternFill>
    </fill>
    <fill>
      <patternFill patternType="solid">
        <fgColor rgb="FFDDEBF3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rgb="FF1F6D78"/>
        <bgColor indexed="64"/>
      </patternFill>
    </fill>
    <fill>
      <patternFill patternType="solid">
        <fgColor rgb="FFF28E2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4C6E7"/>
      </left>
      <right style="thin">
        <color rgb="FFD9E2F3"/>
      </right>
      <top style="thin">
        <color rgb="FFB4C6E7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D9E2F3"/>
      </bottom>
      <diagonal/>
    </border>
    <border>
      <left style="thin">
        <color rgb="FFD9E2F3"/>
      </left>
      <right style="thin">
        <color rgb="FFB4C6E7"/>
      </right>
      <top style="thin">
        <color rgb="FFB4C6E7"/>
      </top>
      <bottom style="thin">
        <color rgb="FFD9E2F3"/>
      </bottom>
      <diagonal/>
    </border>
    <border>
      <left style="thin">
        <color rgb="FFB4C6E7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B4C6E7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D9E2F3"/>
      </right>
      <top style="thin">
        <color rgb="FFD9E2F3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4C6E7"/>
      </bottom>
      <diagonal/>
    </border>
    <border>
      <left style="thin">
        <color rgb="FFD9E2F3"/>
      </left>
      <right style="thin">
        <color rgb="FFB4C6E7"/>
      </right>
      <top style="thin">
        <color rgb="FFD9E2F3"/>
      </top>
      <bottom style="thin">
        <color rgb="FFB4C6E7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D9E2F3"/>
      </bottom>
      <diagonal/>
    </border>
    <border>
      <left/>
      <right/>
      <top/>
      <bottom style="thin">
        <color rgb="FFD9E1E8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165" fontId="0" fillId="0" borderId="1" xfId="1" applyNumberFormat="1" applyFont="1" applyBorder="1"/>
    <xf numFmtId="166" fontId="0" fillId="0" borderId="1" xfId="1" applyNumberFormat="1" applyFont="1" applyBorder="1"/>
    <xf numFmtId="164" fontId="0" fillId="0" borderId="0" xfId="0" applyNumberFormat="1"/>
    <xf numFmtId="0" fontId="4" fillId="0" borderId="0" xfId="0" applyFont="1" applyAlignment="1">
      <alignment vertical="top"/>
    </xf>
    <xf numFmtId="167" fontId="0" fillId="0" borderId="1" xfId="0" applyNumberFormat="1" applyBorder="1"/>
    <xf numFmtId="0" fontId="2" fillId="2" borderId="1" xfId="0" applyFont="1" applyFill="1" applyBorder="1"/>
    <xf numFmtId="164" fontId="0" fillId="0" borderId="0" xfId="1" applyFont="1"/>
    <xf numFmtId="168" fontId="0" fillId="0" borderId="0" xfId="0" applyNumberFormat="1"/>
    <xf numFmtId="0" fontId="5" fillId="3" borderId="2" xfId="0" applyFont="1" applyFill="1" applyBorder="1" applyAlignment="1">
      <alignment horizontal="center" wrapText="1"/>
    </xf>
    <xf numFmtId="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9" fillId="7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3" fontId="0" fillId="0" borderId="4" xfId="0" applyNumberForma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3" fontId="0" fillId="0" borderId="10" xfId="0" applyNumberFormat="1" applyBorder="1" applyAlignment="1">
      <alignment horizontal="right" vertical="center"/>
    </xf>
    <xf numFmtId="2" fontId="0" fillId="0" borderId="0" xfId="0" applyNumberFormat="1"/>
    <xf numFmtId="0" fontId="5" fillId="6" borderId="0" xfId="0" applyFont="1" applyFill="1" applyAlignment="1">
      <alignment horizontal="center" wrapText="1"/>
    </xf>
    <xf numFmtId="0" fontId="2" fillId="0" borderId="0" xfId="0" applyFont="1"/>
    <xf numFmtId="0" fontId="5" fillId="6" borderId="12" xfId="0" applyFont="1" applyFill="1" applyBorder="1" applyAlignment="1">
      <alignment horizontal="center" wrapText="1"/>
    </xf>
    <xf numFmtId="169" fontId="0" fillId="0" borderId="13" xfId="0" applyNumberFormat="1" applyBorder="1" applyAlignment="1">
      <alignment horizontal="left"/>
    </xf>
    <xf numFmtId="168" fontId="0" fillId="0" borderId="13" xfId="0" applyNumberFormat="1" applyBorder="1" applyAlignment="1">
      <alignment horizontal="right"/>
    </xf>
    <xf numFmtId="4" fontId="0" fillId="0" borderId="13" xfId="0" applyNumberFormat="1" applyBorder="1" applyAlignment="1">
      <alignment horizontal="right"/>
    </xf>
    <xf numFmtId="170" fontId="0" fillId="0" borderId="13" xfId="0" applyNumberFormat="1" applyBorder="1" applyAlignment="1">
      <alignment horizontal="right"/>
    </xf>
    <xf numFmtId="169" fontId="0" fillId="0" borderId="14" xfId="0" applyNumberFormat="1" applyBorder="1" applyAlignment="1">
      <alignment horizontal="left"/>
    </xf>
    <xf numFmtId="168" fontId="0" fillId="0" borderId="14" xfId="0" applyNumberFormat="1" applyBorder="1" applyAlignment="1">
      <alignment horizontal="right"/>
    </xf>
    <xf numFmtId="4" fontId="0" fillId="0" borderId="14" xfId="0" applyNumberFormat="1" applyBorder="1" applyAlignment="1">
      <alignment horizontal="right"/>
    </xf>
    <xf numFmtId="170" fontId="0" fillId="0" borderId="14" xfId="0" applyNumberFormat="1" applyBorder="1" applyAlignment="1">
      <alignment horizontal="right"/>
    </xf>
    <xf numFmtId="0" fontId="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right" vertical="center"/>
    </xf>
    <xf numFmtId="0" fontId="9" fillId="8" borderId="0" xfId="0" applyFont="1" applyFill="1" applyAlignment="1">
      <alignment horizontal="center" vertical="center" wrapText="1"/>
    </xf>
    <xf numFmtId="165" fontId="0" fillId="0" borderId="4" xfId="1" applyNumberFormat="1" applyFont="1" applyBorder="1" applyAlignment="1">
      <alignment horizontal="right" vertical="center"/>
    </xf>
    <xf numFmtId="165" fontId="0" fillId="8" borderId="4" xfId="1" applyNumberFormat="1" applyFont="1" applyFill="1" applyBorder="1" applyAlignment="1">
      <alignment horizontal="right" vertical="center"/>
    </xf>
    <xf numFmtId="165" fontId="0" fillId="0" borderId="5" xfId="1" applyNumberFormat="1" applyFont="1" applyBorder="1" applyAlignment="1">
      <alignment horizontal="right" vertical="center"/>
    </xf>
    <xf numFmtId="165" fontId="0" fillId="0" borderId="7" xfId="1" applyNumberFormat="1" applyFont="1" applyBorder="1" applyAlignment="1">
      <alignment horizontal="right" vertical="center"/>
    </xf>
    <xf numFmtId="165" fontId="0" fillId="8" borderId="7" xfId="1" applyNumberFormat="1" applyFont="1" applyFill="1" applyBorder="1" applyAlignment="1">
      <alignment horizontal="right" vertical="center"/>
    </xf>
    <xf numFmtId="165" fontId="0" fillId="0" borderId="8" xfId="1" applyNumberFormat="1" applyFont="1" applyBorder="1" applyAlignment="1">
      <alignment horizontal="right" vertical="center"/>
    </xf>
    <xf numFmtId="165" fontId="0" fillId="0" borderId="10" xfId="1" applyNumberFormat="1" applyFont="1" applyBorder="1" applyAlignment="1">
      <alignment horizontal="right" vertical="center"/>
    </xf>
    <xf numFmtId="165" fontId="0" fillId="8" borderId="10" xfId="1" applyNumberFormat="1" applyFont="1" applyFill="1" applyBorder="1" applyAlignment="1">
      <alignment horizontal="right" vertical="center"/>
    </xf>
    <xf numFmtId="165" fontId="0" fillId="0" borderId="11" xfId="1" applyNumberFormat="1" applyFont="1" applyBorder="1" applyAlignment="1">
      <alignment horizontal="right" vertical="center"/>
    </xf>
    <xf numFmtId="0" fontId="0" fillId="9" borderId="0" xfId="0" applyFill="1"/>
    <xf numFmtId="0" fontId="12" fillId="11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15" xfId="0" applyFill="1" applyBorder="1" applyAlignment="1">
      <alignment horizontal="center"/>
    </xf>
    <xf numFmtId="3" fontId="0" fillId="9" borderId="0" xfId="0" applyNumberFormat="1" applyFill="1" applyAlignment="1">
      <alignment horizontal="right"/>
    </xf>
    <xf numFmtId="0" fontId="0" fillId="9" borderId="0" xfId="0" applyFill="1" applyAlignment="1">
      <alignment horizontal="right"/>
    </xf>
    <xf numFmtId="170" fontId="0" fillId="9" borderId="0" xfId="0" applyNumberFormat="1" applyFill="1" applyAlignment="1">
      <alignment horizontal="right"/>
    </xf>
    <xf numFmtId="3" fontId="0" fillId="9" borderId="15" xfId="0" applyNumberFormat="1" applyFill="1" applyBorder="1" applyAlignment="1">
      <alignment horizontal="right"/>
    </xf>
    <xf numFmtId="170" fontId="0" fillId="9" borderId="15" xfId="0" applyNumberFormat="1" applyFill="1" applyBorder="1" applyAlignment="1">
      <alignment horizontal="right"/>
    </xf>
    <xf numFmtId="0" fontId="0" fillId="15" borderId="0" xfId="0" applyFill="1"/>
    <xf numFmtId="0" fontId="5" fillId="14" borderId="0" xfId="0" applyFont="1" applyFill="1"/>
    <xf numFmtId="0" fontId="16" fillId="0" borderId="0" xfId="0" applyFont="1"/>
    <xf numFmtId="0" fontId="17" fillId="0" borderId="0" xfId="0" applyFont="1" applyAlignment="1">
      <alignment wrapText="1"/>
    </xf>
    <xf numFmtId="0" fontId="16" fillId="0" borderId="15" xfId="0" applyFont="1" applyBorder="1"/>
    <xf numFmtId="0" fontId="17" fillId="0" borderId="15" xfId="0" applyFont="1" applyBorder="1" applyAlignment="1">
      <alignment wrapText="1"/>
    </xf>
    <xf numFmtId="0" fontId="5" fillId="14" borderId="0" xfId="0" applyFont="1" applyFill="1" applyAlignment="1">
      <alignment horizontal="center"/>
    </xf>
    <xf numFmtId="0" fontId="5" fillId="14" borderId="0" xfId="0" applyFont="1" applyFill="1" applyAlignment="1">
      <alignment horizontal="left"/>
    </xf>
    <xf numFmtId="0" fontId="13" fillId="11" borderId="0" xfId="0" applyFont="1" applyFill="1" applyAlignment="1">
      <alignment horizontal="center"/>
    </xf>
    <xf numFmtId="3" fontId="14" fillId="12" borderId="0" xfId="0" applyNumberFormat="1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170" fontId="14" fillId="12" borderId="0" xfId="0" applyNumberFormat="1" applyFont="1" applyFill="1" applyAlignment="1">
      <alignment horizontal="center" vertical="center"/>
    </xf>
    <xf numFmtId="0" fontId="15" fillId="13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6" fillId="10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6" fillId="4" borderId="0" xfId="0" applyFont="1" applyFill="1" applyAlignment="1"/>
    <xf numFmtId="0" fontId="7" fillId="0" borderId="0" xfId="0" applyFont="1" applyAlignment="1"/>
    <xf numFmtId="0" fontId="5" fillId="6" borderId="0" xfId="0" applyFont="1" applyFill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232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SFC vs 2% Improvement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232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'SFC Executive'!$D$32</c:f>
              <c:strCache>
                <c:ptCount val="1"/>
                <c:pt idx="0">
                  <c:v>Avg SFC</c:v>
                </c:pt>
              </c:strCache>
            </c:strRef>
          </c:tx>
          <c:spPr>
            <a:ln w="31750" cap="rnd">
              <a:solidFill>
                <a:srgbClr val="0B5A7A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'SFC Executive'!$B$33:$B$36</c:f>
              <c:strCache>
                <c:ptCount val="4"/>
                <c:pt idx="0">
                  <c:v>45-50</c:v>
                </c:pt>
                <c:pt idx="1">
                  <c:v>50-55</c:v>
                </c:pt>
                <c:pt idx="2">
                  <c:v>55-60</c:v>
                </c:pt>
                <c:pt idx="3">
                  <c:v>60-65</c:v>
                </c:pt>
              </c:strCache>
            </c:strRef>
          </c:cat>
          <c:val>
            <c:numRef>
              <c:f>'SFC Executive'!$D$33:$D$36</c:f>
              <c:numCache>
                <c:formatCode>#,##0</c:formatCode>
                <c:ptCount val="4"/>
                <c:pt idx="0">
                  <c:v>1765.3727678481291</c:v>
                </c:pt>
                <c:pt idx="1">
                  <c:v>1662.6063082583271</c:v>
                </c:pt>
                <c:pt idx="2">
                  <c:v>1565.0883724966075</c:v>
                </c:pt>
                <c:pt idx="3">
                  <c:v>1520.1068241639582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8-462E-B427-C6D00FA51D43}"/>
            </c:ext>
          </c:extLst>
        </c:ser>
        <c:ser>
          <c:idx val="1"/>
          <c:order val="1"/>
          <c:tx>
            <c:strRef>
              <c:f>'SFC Executive'!$E$32</c:f>
              <c:strCache>
                <c:ptCount val="1"/>
                <c:pt idx="0">
                  <c:v>2% target</c:v>
                </c:pt>
              </c:strCache>
            </c:strRef>
          </c:tx>
          <c:spPr>
            <a:ln w="25400" cap="rnd">
              <a:solidFill>
                <a:srgbClr val="F28E2B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'SFC Executive'!$B$33:$B$36</c:f>
              <c:strCache>
                <c:ptCount val="4"/>
                <c:pt idx="0">
                  <c:v>45-50</c:v>
                </c:pt>
                <c:pt idx="1">
                  <c:v>50-55</c:v>
                </c:pt>
                <c:pt idx="2">
                  <c:v>55-60</c:v>
                </c:pt>
                <c:pt idx="3">
                  <c:v>60-65</c:v>
                </c:pt>
              </c:strCache>
            </c:strRef>
          </c:cat>
          <c:val>
            <c:numRef>
              <c:f>'SFC Executive'!$E$33:$E$36</c:f>
              <c:numCache>
                <c:formatCode>#,##0</c:formatCode>
                <c:ptCount val="4"/>
                <c:pt idx="0">
                  <c:v>1730.0653124911664</c:v>
                </c:pt>
                <c:pt idx="1">
                  <c:v>1629.3541820931605</c:v>
                </c:pt>
                <c:pt idx="2">
                  <c:v>1533.7866050466753</c:v>
                </c:pt>
                <c:pt idx="3">
                  <c:v>1489.7046876806789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8-462E-B427-C6D00FA5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168767"/>
        <c:axId val="1015327887"/>
      </c:lineChart>
      <c:catAx>
        <c:axId val="1117168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Draw bucket (tonnes/day)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327887"/>
        <c:crosses val="autoZero"/>
        <c:auto val="1"/>
        <c:lblAlgn val="ctr"/>
        <c:lblOffset val="100"/>
        <c:noMultiLvlLbl val="0"/>
      </c:catAx>
      <c:valAx>
        <c:axId val="101532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SFC (kcal/kg)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168767"/>
        <c:crosses val="autoZero"/>
        <c:crossBetween val="between"/>
        <c:majorUnit val="5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232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SFC vs 2% Improvement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232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'SFC Executive'!$K$32</c:f>
              <c:strCache>
                <c:ptCount val="1"/>
                <c:pt idx="0">
                  <c:v>Avg SFC</c:v>
                </c:pt>
              </c:strCache>
            </c:strRef>
          </c:tx>
          <c:spPr>
            <a:ln w="31750" cap="rnd">
              <a:solidFill>
                <a:srgbClr val="0B5A7A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'SFC Executive'!$I$33:$I$38</c:f>
              <c:strCache>
                <c:ptCount val="6"/>
                <c:pt idx="0">
                  <c:v>45-48</c:v>
                </c:pt>
                <c:pt idx="1">
                  <c:v>48-51</c:v>
                </c:pt>
                <c:pt idx="2">
                  <c:v>51-54</c:v>
                </c:pt>
                <c:pt idx="3">
                  <c:v>54-57</c:v>
                </c:pt>
                <c:pt idx="4">
                  <c:v>57-60</c:v>
                </c:pt>
                <c:pt idx="5">
                  <c:v>60-63</c:v>
                </c:pt>
              </c:strCache>
            </c:strRef>
          </c:cat>
          <c:val>
            <c:numRef>
              <c:f>'SFC Executive'!$K$33:$K$38</c:f>
              <c:numCache>
                <c:formatCode>#,##0</c:formatCode>
                <c:ptCount val="6"/>
                <c:pt idx="0">
                  <c:v>1775.4980989854437</c:v>
                </c:pt>
                <c:pt idx="1">
                  <c:v>1729.7317274432969</c:v>
                </c:pt>
                <c:pt idx="2">
                  <c:v>1665.1893378492694</c:v>
                </c:pt>
                <c:pt idx="3">
                  <c:v>1594.7855906626207</c:v>
                </c:pt>
                <c:pt idx="4">
                  <c:v>1555.4448163016334</c:v>
                </c:pt>
                <c:pt idx="5">
                  <c:v>1520.1068241639582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1-4FBF-900C-0A4E02862515}"/>
            </c:ext>
          </c:extLst>
        </c:ser>
        <c:ser>
          <c:idx val="1"/>
          <c:order val="1"/>
          <c:tx>
            <c:strRef>
              <c:f>'SFC Executive'!$L$32</c:f>
              <c:strCache>
                <c:ptCount val="1"/>
                <c:pt idx="0">
                  <c:v>2% target</c:v>
                </c:pt>
              </c:strCache>
            </c:strRef>
          </c:tx>
          <c:spPr>
            <a:ln w="25400" cap="rnd">
              <a:solidFill>
                <a:srgbClr val="F28E2B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'SFC Executive'!$I$33:$I$38</c:f>
              <c:strCache>
                <c:ptCount val="6"/>
                <c:pt idx="0">
                  <c:v>45-48</c:v>
                </c:pt>
                <c:pt idx="1">
                  <c:v>48-51</c:v>
                </c:pt>
                <c:pt idx="2">
                  <c:v>51-54</c:v>
                </c:pt>
                <c:pt idx="3">
                  <c:v>54-57</c:v>
                </c:pt>
                <c:pt idx="4">
                  <c:v>57-60</c:v>
                </c:pt>
                <c:pt idx="5">
                  <c:v>60-63</c:v>
                </c:pt>
              </c:strCache>
            </c:strRef>
          </c:cat>
          <c:val>
            <c:numRef>
              <c:f>'SFC Executive'!$L$33:$L$38</c:f>
              <c:numCache>
                <c:formatCode>#,##0</c:formatCode>
                <c:ptCount val="6"/>
                <c:pt idx="0">
                  <c:v>1739.9881370057349</c:v>
                </c:pt>
                <c:pt idx="1">
                  <c:v>1695.1370928944309</c:v>
                </c:pt>
                <c:pt idx="2">
                  <c:v>1631.885551092284</c:v>
                </c:pt>
                <c:pt idx="3">
                  <c:v>1562.8898788493682</c:v>
                </c:pt>
                <c:pt idx="4">
                  <c:v>1524.3359199756007</c:v>
                </c:pt>
                <c:pt idx="5">
                  <c:v>1489.7046876806789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11-4FBF-900C-0A4E02862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512783"/>
        <c:axId val="1015327407"/>
      </c:lineChart>
      <c:catAx>
        <c:axId val="119151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Draw bucket (tonnes/day)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327407"/>
        <c:crosses val="autoZero"/>
        <c:auto val="1"/>
        <c:lblAlgn val="ctr"/>
        <c:lblOffset val="100"/>
        <c:noMultiLvlLbl val="0"/>
      </c:catAx>
      <c:valAx>
        <c:axId val="10153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SFC (kcal/kg)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12783"/>
        <c:crosses val="autoZero"/>
        <c:crossBetween val="between"/>
        <c:majorUnit val="5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0</xdr:colOff>
      <xdr:row>27</xdr:row>
      <xdr:rowOff>38100</xdr:rowOff>
    </xdr:to>
    <xdr:graphicFrame macro="">
      <xdr:nvGraphicFramePr>
        <xdr:cNvPr id="2" name="Five Tonne SFC vs Target">
          <a:extLst>
            <a:ext uri="{FF2B5EF4-FFF2-40B4-BE49-F238E27FC236}">
              <a16:creationId xmlns:a16="http://schemas.microsoft.com/office/drawing/2014/main" id="{1E711138-BAAC-8266-9390-9930F5D02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0</xdr:colOff>
      <xdr:row>27</xdr:row>
      <xdr:rowOff>31750</xdr:rowOff>
    </xdr:to>
    <xdr:graphicFrame macro="">
      <xdr:nvGraphicFramePr>
        <xdr:cNvPr id="3" name="Three Tonne SFC vs Target">
          <a:extLst>
            <a:ext uri="{FF2B5EF4-FFF2-40B4-BE49-F238E27FC236}">
              <a16:creationId xmlns:a16="http://schemas.microsoft.com/office/drawing/2014/main" id="{E5E206AD-8C79-9E78-15A7-5407DDAE2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3F39-DBAF-4F99-96DC-374A603439E9}">
  <dimension ref="A1:B11"/>
  <sheetViews>
    <sheetView workbookViewId="0">
      <selection activeCell="A7" sqref="A7:G7"/>
    </sheetView>
  </sheetViews>
  <sheetFormatPr defaultRowHeight="14.45"/>
  <cols>
    <col min="1" max="1" width="36.42578125" customWidth="1"/>
    <col min="2" max="2" width="63.5703125" customWidth="1"/>
  </cols>
  <sheetData>
    <row r="1" spans="1:2" ht="32.1" customHeight="1">
      <c r="A1" s="74" t="s">
        <v>0</v>
      </c>
      <c r="B1" s="74"/>
    </row>
    <row r="2" spans="1:2">
      <c r="A2" s="75" t="s">
        <v>1</v>
      </c>
      <c r="B2" s="75"/>
    </row>
    <row r="3" spans="1:2" ht="3.95" customHeight="1">
      <c r="A3" s="60"/>
      <c r="B3" s="60"/>
    </row>
    <row r="5" spans="1:2">
      <c r="A5" s="61" t="s">
        <v>2</v>
      </c>
      <c r="B5" s="61" t="s">
        <v>3</v>
      </c>
    </row>
    <row r="6" spans="1:2" ht="29.1">
      <c r="A6" s="62" t="s">
        <v>4</v>
      </c>
      <c r="B6" s="63" t="s">
        <v>5</v>
      </c>
    </row>
    <row r="7" spans="1:2">
      <c r="A7" s="62" t="s">
        <v>6</v>
      </c>
      <c r="B7" s="63" t="s">
        <v>7</v>
      </c>
    </row>
    <row r="8" spans="1:2">
      <c r="A8" s="62" t="s">
        <v>8</v>
      </c>
      <c r="B8" s="63" t="s">
        <v>9</v>
      </c>
    </row>
    <row r="9" spans="1:2">
      <c r="A9" s="62" t="s">
        <v>10</v>
      </c>
      <c r="B9" s="63" t="s">
        <v>11</v>
      </c>
    </row>
    <row r="10" spans="1:2">
      <c r="A10" s="62" t="s">
        <v>12</v>
      </c>
      <c r="B10" s="63" t="s">
        <v>13</v>
      </c>
    </row>
    <row r="11" spans="1:2">
      <c r="A11" s="64" t="s">
        <v>14</v>
      </c>
      <c r="B11" s="65" t="s">
        <v>15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7A00-5132-411E-A14B-EDC25D4F390B}">
  <dimension ref="B1:N338"/>
  <sheetViews>
    <sheetView tabSelected="1" workbookViewId="0">
      <pane xSplit="3" ySplit="3" topLeftCell="E15" activePane="bottomRight" state="frozen"/>
      <selection pane="bottomRight" activeCell="I1" sqref="I1:I1048576"/>
      <selection pane="bottomLeft" activeCell="A4" sqref="A4"/>
      <selection pane="topRight" activeCell="C1" sqref="C1"/>
    </sheetView>
  </sheetViews>
  <sheetFormatPr defaultRowHeight="14.45"/>
  <cols>
    <col min="2" max="2" width="7.42578125" bestFit="1" customWidth="1"/>
    <col min="3" max="3" width="28.7109375" bestFit="1" customWidth="1"/>
    <col min="4" max="4" width="9" bestFit="1" customWidth="1"/>
    <col min="5" max="5" width="10.5703125" bestFit="1" customWidth="1"/>
    <col min="6" max="6" width="13.7109375" bestFit="1" customWidth="1"/>
    <col min="7" max="7" width="14" bestFit="1" customWidth="1"/>
    <col min="8" max="8" width="13.85546875" bestFit="1" customWidth="1"/>
    <col min="9" max="9" width="10.7109375" bestFit="1" customWidth="1"/>
    <col min="10" max="10" width="8.5703125" bestFit="1" customWidth="1"/>
    <col min="13" max="13" width="34.28515625" bestFit="1" customWidth="1"/>
    <col min="14" max="14" width="8.5703125" bestFit="1" customWidth="1"/>
  </cols>
  <sheetData>
    <row r="1" spans="2:14" ht="18.600000000000001">
      <c r="C1" s="4" t="s">
        <v>16</v>
      </c>
    </row>
    <row r="3" spans="2:14" ht="29.1">
      <c r="B3" s="13" t="s">
        <v>17</v>
      </c>
      <c r="C3" s="6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</row>
    <row r="4" spans="2:14">
      <c r="B4" s="12">
        <f>DATE(YEAR(C4),MONTH(C4),1)</f>
        <v>45901</v>
      </c>
      <c r="C4" s="7">
        <v>45901</v>
      </c>
      <c r="D4" s="8">
        <v>7686</v>
      </c>
      <c r="E4" s="9">
        <v>9604.6460000000006</v>
      </c>
      <c r="F4" s="8">
        <v>5358</v>
      </c>
      <c r="G4" s="8">
        <v>13720</v>
      </c>
      <c r="H4" s="10">
        <f>((D4 *(E4))+ ((F4+G4)*860))</f>
        <v>90228389.156000003</v>
      </c>
      <c r="I4" s="14">
        <f>VLOOKUP(C4,'Draw Data'!A:B,2,0)</f>
        <v>60554</v>
      </c>
      <c r="J4" s="10">
        <f>H4/I4</f>
        <v>1490.0483726260859</v>
      </c>
    </row>
    <row r="5" spans="2:14">
      <c r="B5" s="12">
        <f t="shared" ref="B5:B68" si="0">DATE(YEAR(C5),MONTH(C5),1)</f>
        <v>45901</v>
      </c>
      <c r="C5" s="7">
        <v>45902</v>
      </c>
      <c r="D5" s="8">
        <v>7516</v>
      </c>
      <c r="E5" s="9">
        <v>9630.14</v>
      </c>
      <c r="F5" s="8">
        <v>5678</v>
      </c>
      <c r="G5" s="8">
        <v>11810</v>
      </c>
      <c r="H5" s="10">
        <f t="shared" ref="H5:H68" si="1">((D5 *(E5))+ ((F5+G5)*860))</f>
        <v>87419812.239999995</v>
      </c>
      <c r="I5" s="14">
        <f>VLOOKUP(C5,'Draw Data'!A:B,2,0)</f>
        <v>57841</v>
      </c>
      <c r="J5" s="10">
        <f t="shared" ref="J5:J68" si="2">H5/I5</f>
        <v>1511.3814118013172</v>
      </c>
      <c r="M5" t="s">
        <v>26</v>
      </c>
      <c r="N5" s="10">
        <f>AVERAGE(J4:J337)</f>
        <v>1576.3063738693186</v>
      </c>
    </row>
    <row r="6" spans="2:14">
      <c r="B6" s="12">
        <f t="shared" si="0"/>
        <v>45901</v>
      </c>
      <c r="C6" s="7">
        <v>45903</v>
      </c>
      <c r="D6" s="8">
        <v>7493</v>
      </c>
      <c r="E6" s="9">
        <v>9579.6589999999997</v>
      </c>
      <c r="F6" s="8">
        <v>5487</v>
      </c>
      <c r="G6" s="8">
        <v>13080</v>
      </c>
      <c r="H6" s="10">
        <f t="shared" si="1"/>
        <v>87748004.886999995</v>
      </c>
      <c r="I6" s="14">
        <f>VLOOKUP(C6,'Draw Data'!A:B,2,0)</f>
        <v>60258</v>
      </c>
      <c r="J6" s="10">
        <f t="shared" si="2"/>
        <v>1456.2050663314415</v>
      </c>
    </row>
    <row r="7" spans="2:14">
      <c r="B7" s="12">
        <f t="shared" si="0"/>
        <v>45901</v>
      </c>
      <c r="C7" s="7">
        <v>45904</v>
      </c>
      <c r="D7" s="8">
        <v>7683</v>
      </c>
      <c r="E7" s="9">
        <v>9538.1200000000008</v>
      </c>
      <c r="F7" s="8">
        <v>5456</v>
      </c>
      <c r="G7" s="8">
        <v>12310</v>
      </c>
      <c r="H7" s="10">
        <f t="shared" si="1"/>
        <v>88560135.960000008</v>
      </c>
      <c r="I7" s="14">
        <f>VLOOKUP(C7,'Draw Data'!A:B,2,0)</f>
        <v>59462</v>
      </c>
      <c r="J7" s="10">
        <f t="shared" si="2"/>
        <v>1489.3568322626215</v>
      </c>
      <c r="N7" s="10">
        <f>0.98*N5</f>
        <v>1544.7802463919322</v>
      </c>
    </row>
    <row r="8" spans="2:14">
      <c r="B8" s="12">
        <f t="shared" si="0"/>
        <v>45901</v>
      </c>
      <c r="C8" s="7">
        <v>45905</v>
      </c>
      <c r="D8" s="8">
        <v>7731</v>
      </c>
      <c r="E8" s="9">
        <v>9465.0789999999997</v>
      </c>
      <c r="F8" s="8">
        <v>5520</v>
      </c>
      <c r="G8" s="8">
        <v>10620</v>
      </c>
      <c r="H8" s="10">
        <f t="shared" si="1"/>
        <v>87054925.748999998</v>
      </c>
      <c r="I8" s="14">
        <f>VLOOKUP(C8,'Draw Data'!A:B,2,0)</f>
        <v>56709</v>
      </c>
      <c r="J8" s="10">
        <f t="shared" si="2"/>
        <v>1535.1165731894407</v>
      </c>
    </row>
    <row r="9" spans="2:14">
      <c r="B9" s="12">
        <f t="shared" si="0"/>
        <v>45901</v>
      </c>
      <c r="C9" s="7">
        <v>45906</v>
      </c>
      <c r="D9" s="8">
        <v>7815</v>
      </c>
      <c r="E9" s="9">
        <v>9515.2330000000002</v>
      </c>
      <c r="F9" s="8">
        <v>5599</v>
      </c>
      <c r="G9" s="8">
        <v>9260</v>
      </c>
      <c r="H9" s="10">
        <f t="shared" si="1"/>
        <v>87140285.894999996</v>
      </c>
      <c r="I9" s="14">
        <f>VLOOKUP(C9,'Draw Data'!A:B,2,0)</f>
        <v>55926</v>
      </c>
      <c r="J9" s="10">
        <f t="shared" si="2"/>
        <v>1558.1354986052997</v>
      </c>
      <c r="M9" t="s">
        <v>27</v>
      </c>
    </row>
    <row r="10" spans="2:14">
      <c r="B10" s="12">
        <f t="shared" si="0"/>
        <v>45901</v>
      </c>
      <c r="C10" s="7">
        <v>45907</v>
      </c>
      <c r="D10" s="8">
        <v>7735</v>
      </c>
      <c r="E10" s="9">
        <v>9478.8029999999999</v>
      </c>
      <c r="F10" s="8">
        <v>5298</v>
      </c>
      <c r="G10" s="8">
        <v>9690</v>
      </c>
      <c r="H10" s="10">
        <f t="shared" si="1"/>
        <v>86208221.204999998</v>
      </c>
      <c r="I10" s="14">
        <f>VLOOKUP(C10,'Draw Data'!A:B,2,0)</f>
        <v>55717</v>
      </c>
      <c r="J10" s="10">
        <f t="shared" si="2"/>
        <v>1547.2516683417987</v>
      </c>
    </row>
    <row r="11" spans="2:14">
      <c r="B11" s="12">
        <f t="shared" si="0"/>
        <v>45901</v>
      </c>
      <c r="C11" s="7">
        <v>45908</v>
      </c>
      <c r="D11" s="8">
        <v>7762</v>
      </c>
      <c r="E11" s="9">
        <v>9430.52</v>
      </c>
      <c r="F11" s="8">
        <v>5456</v>
      </c>
      <c r="G11" s="8">
        <v>9930</v>
      </c>
      <c r="H11" s="10">
        <f t="shared" si="1"/>
        <v>86431656.24000001</v>
      </c>
      <c r="I11" s="14">
        <f>VLOOKUP(C11,'Draw Data'!A:B,2,0)</f>
        <v>56409</v>
      </c>
      <c r="J11" s="10">
        <f t="shared" si="2"/>
        <v>1532.2316694144554</v>
      </c>
    </row>
    <row r="12" spans="2:14">
      <c r="B12" s="12">
        <f t="shared" si="0"/>
        <v>45901</v>
      </c>
      <c r="C12" s="7">
        <v>45909</v>
      </c>
      <c r="D12" s="8">
        <v>7614</v>
      </c>
      <c r="E12" s="9">
        <v>9478.4110000000001</v>
      </c>
      <c r="F12" s="8">
        <v>5503</v>
      </c>
      <c r="G12" s="8">
        <v>10530</v>
      </c>
      <c r="H12" s="10">
        <f t="shared" si="1"/>
        <v>85957001.354000002</v>
      </c>
      <c r="I12" s="14">
        <f>VLOOKUP(C12,'Draw Data'!A:B,2,0)</f>
        <v>55777</v>
      </c>
      <c r="J12" s="10">
        <f t="shared" si="2"/>
        <v>1541.0832664718432</v>
      </c>
    </row>
    <row r="13" spans="2:14">
      <c r="B13" s="12">
        <f t="shared" si="0"/>
        <v>45901</v>
      </c>
      <c r="C13" s="7">
        <v>45910</v>
      </c>
      <c r="D13" s="8">
        <v>7663</v>
      </c>
      <c r="E13" s="9">
        <v>9562.6380000000008</v>
      </c>
      <c r="F13" s="8">
        <v>5469</v>
      </c>
      <c r="G13" s="8">
        <v>9450</v>
      </c>
      <c r="H13" s="10">
        <f t="shared" si="1"/>
        <v>86108834.994000003</v>
      </c>
      <c r="I13" s="14">
        <f>VLOOKUP(C13,'Draw Data'!A:B,2,0)</f>
        <v>55489</v>
      </c>
      <c r="J13" s="10">
        <f t="shared" si="2"/>
        <v>1551.8181079853666</v>
      </c>
    </row>
    <row r="14" spans="2:14">
      <c r="B14" s="12">
        <f t="shared" si="0"/>
        <v>45901</v>
      </c>
      <c r="C14" s="7">
        <v>45911</v>
      </c>
      <c r="D14" s="8">
        <v>7640</v>
      </c>
      <c r="E14" s="9">
        <v>9468.8310000000001</v>
      </c>
      <c r="F14" s="8">
        <v>5516</v>
      </c>
      <c r="G14" s="8">
        <v>10300</v>
      </c>
      <c r="H14" s="10">
        <f t="shared" si="1"/>
        <v>85943628.840000004</v>
      </c>
      <c r="I14" s="14">
        <f>VLOOKUP(C14,'Draw Data'!A:B,2,0)</f>
        <v>57154</v>
      </c>
      <c r="J14" s="10">
        <f t="shared" si="2"/>
        <v>1503.7202792455471</v>
      </c>
    </row>
    <row r="15" spans="2:14">
      <c r="B15" s="12">
        <f t="shared" si="0"/>
        <v>45901</v>
      </c>
      <c r="C15" s="7">
        <v>45912</v>
      </c>
      <c r="D15" s="8">
        <v>7634</v>
      </c>
      <c r="E15" s="9">
        <v>9529.8140000000003</v>
      </c>
      <c r="F15" s="8">
        <v>4797</v>
      </c>
      <c r="G15" s="8">
        <v>11380</v>
      </c>
      <c r="H15" s="10">
        <f t="shared" si="1"/>
        <v>86662820.076000005</v>
      </c>
      <c r="I15" s="14">
        <f>VLOOKUP(C15,'Draw Data'!A:B,2,0)</f>
        <v>57065</v>
      </c>
      <c r="J15" s="10">
        <f t="shared" si="2"/>
        <v>1518.6685372119514</v>
      </c>
    </row>
    <row r="16" spans="2:14">
      <c r="B16" s="12">
        <f t="shared" si="0"/>
        <v>45901</v>
      </c>
      <c r="C16" s="7">
        <v>45913</v>
      </c>
      <c r="D16" s="8">
        <v>7561</v>
      </c>
      <c r="E16" s="9">
        <v>9600.009</v>
      </c>
      <c r="F16" s="8">
        <v>4382</v>
      </c>
      <c r="G16" s="8">
        <v>12060</v>
      </c>
      <c r="H16" s="10">
        <f t="shared" si="1"/>
        <v>86725788.048999995</v>
      </c>
      <c r="I16" s="14">
        <f>VLOOKUP(C16,'Draw Data'!A:B,2,0)</f>
        <v>57936</v>
      </c>
      <c r="J16" s="10">
        <f t="shared" si="2"/>
        <v>1496.9239859327533</v>
      </c>
    </row>
    <row r="17" spans="2:10">
      <c r="B17" s="12">
        <f t="shared" si="0"/>
        <v>45901</v>
      </c>
      <c r="C17" s="7">
        <v>45914</v>
      </c>
      <c r="D17" s="8">
        <v>7542</v>
      </c>
      <c r="E17" s="9">
        <v>9574.3870000000006</v>
      </c>
      <c r="F17" s="8">
        <v>4394</v>
      </c>
      <c r="G17" s="8">
        <v>13260</v>
      </c>
      <c r="H17" s="10">
        <f t="shared" si="1"/>
        <v>87392466.754000008</v>
      </c>
      <c r="I17" s="14">
        <f>VLOOKUP(C17,'Draw Data'!A:B,2,0)</f>
        <v>58312</v>
      </c>
      <c r="J17" s="10">
        <f t="shared" si="2"/>
        <v>1498.7046706338319</v>
      </c>
    </row>
    <row r="18" spans="2:10">
      <c r="B18" s="12">
        <f t="shared" si="0"/>
        <v>45901</v>
      </c>
      <c r="C18" s="7">
        <v>45915</v>
      </c>
      <c r="D18" s="8">
        <v>7543</v>
      </c>
      <c r="E18" s="9">
        <v>9571.9449999999997</v>
      </c>
      <c r="F18" s="8">
        <v>4415</v>
      </c>
      <c r="G18" s="8">
        <v>13530</v>
      </c>
      <c r="H18" s="10">
        <f t="shared" si="1"/>
        <v>87633881.13499999</v>
      </c>
      <c r="I18" s="14">
        <f>VLOOKUP(C18,'Draw Data'!A:B,2,0)</f>
        <v>58972</v>
      </c>
      <c r="J18" s="10">
        <f t="shared" si="2"/>
        <v>1486.0252515600623</v>
      </c>
    </row>
    <row r="19" spans="2:10">
      <c r="B19" s="12">
        <f t="shared" si="0"/>
        <v>45901</v>
      </c>
      <c r="C19" s="7">
        <v>45916</v>
      </c>
      <c r="D19" s="8">
        <v>7460</v>
      </c>
      <c r="E19" s="9">
        <v>9726.2250000000004</v>
      </c>
      <c r="F19" s="8">
        <v>3853</v>
      </c>
      <c r="G19" s="8">
        <v>14210</v>
      </c>
      <c r="H19" s="10">
        <f t="shared" si="1"/>
        <v>88091818.5</v>
      </c>
      <c r="I19" s="14">
        <f>VLOOKUP(C19,'Draw Data'!A:B,2,0)</f>
        <v>58921</v>
      </c>
      <c r="J19" s="10">
        <f t="shared" si="2"/>
        <v>1495.0835610393578</v>
      </c>
    </row>
    <row r="20" spans="2:10">
      <c r="B20" s="12">
        <f t="shared" si="0"/>
        <v>45901</v>
      </c>
      <c r="C20" s="7">
        <v>45917</v>
      </c>
      <c r="D20" s="8">
        <v>7632</v>
      </c>
      <c r="E20" s="9">
        <v>9517.6080000000002</v>
      </c>
      <c r="F20" s="8">
        <v>4870</v>
      </c>
      <c r="G20" s="8">
        <v>14250</v>
      </c>
      <c r="H20" s="10">
        <f t="shared" si="1"/>
        <v>89081584.255999997</v>
      </c>
      <c r="I20" s="14">
        <f>VLOOKUP(C20,'Draw Data'!A:B,2,0)</f>
        <v>59559</v>
      </c>
      <c r="J20" s="10">
        <f t="shared" si="2"/>
        <v>1495.6863657213855</v>
      </c>
    </row>
    <row r="21" spans="2:10">
      <c r="B21" s="12">
        <f t="shared" si="0"/>
        <v>45901</v>
      </c>
      <c r="C21" s="7">
        <v>45918</v>
      </c>
      <c r="D21" s="8">
        <v>7481</v>
      </c>
      <c r="E21" s="9">
        <v>9523.857</v>
      </c>
      <c r="F21" s="8">
        <v>5280</v>
      </c>
      <c r="G21" s="8">
        <v>14990</v>
      </c>
      <c r="H21" s="10">
        <f t="shared" si="1"/>
        <v>88680174.216999993</v>
      </c>
      <c r="I21" s="14">
        <f>VLOOKUP(C21,'Draw Data'!A:B,2,0)</f>
        <v>60443</v>
      </c>
      <c r="J21" s="10">
        <f t="shared" si="2"/>
        <v>1467.1702962625943</v>
      </c>
    </row>
    <row r="22" spans="2:10">
      <c r="B22" s="12">
        <f t="shared" si="0"/>
        <v>45901</v>
      </c>
      <c r="C22" s="7">
        <v>45919</v>
      </c>
      <c r="D22" s="8">
        <v>7468</v>
      </c>
      <c r="E22" s="9">
        <v>9476.3590000000004</v>
      </c>
      <c r="F22" s="8">
        <v>5279</v>
      </c>
      <c r="G22" s="8">
        <v>14270</v>
      </c>
      <c r="H22" s="10">
        <f>((D22 *(E22))+ ((F22+G22)*860))</f>
        <v>87581589.012000009</v>
      </c>
      <c r="I22" s="14">
        <f>VLOOKUP(C22,'Draw Data'!A:B,2,0)</f>
        <v>58914</v>
      </c>
      <c r="J22" s="10">
        <f t="shared" si="2"/>
        <v>1486.6006214482129</v>
      </c>
    </row>
    <row r="23" spans="2:10">
      <c r="B23" s="12">
        <f t="shared" si="0"/>
        <v>45901</v>
      </c>
      <c r="C23" s="7">
        <v>45920</v>
      </c>
      <c r="D23" s="8">
        <v>7670</v>
      </c>
      <c r="E23" s="9">
        <v>9392.66</v>
      </c>
      <c r="F23" s="8">
        <v>4643</v>
      </c>
      <c r="G23" s="8">
        <v>13440</v>
      </c>
      <c r="H23" s="10">
        <f t="shared" si="1"/>
        <v>87593082.200000003</v>
      </c>
      <c r="I23" s="14">
        <f>VLOOKUP(C23,'Draw Data'!A:B,2,0)</f>
        <v>58186</v>
      </c>
      <c r="J23" s="10">
        <f t="shared" si="2"/>
        <v>1505.3978998384491</v>
      </c>
    </row>
    <row r="24" spans="2:10">
      <c r="B24" s="12">
        <f t="shared" si="0"/>
        <v>45901</v>
      </c>
      <c r="C24" s="7">
        <v>45921</v>
      </c>
      <c r="D24" s="8">
        <v>7581</v>
      </c>
      <c r="E24" s="9">
        <v>9451.4030000000002</v>
      </c>
      <c r="F24" s="8">
        <v>7333</v>
      </c>
      <c r="G24" s="8">
        <v>10360</v>
      </c>
      <c r="H24" s="10">
        <f t="shared" si="1"/>
        <v>86867066.143000007</v>
      </c>
      <c r="I24" s="14">
        <f>VLOOKUP(C24,'Draw Data'!A:B,2,0)</f>
        <v>56307</v>
      </c>
      <c r="J24" s="10">
        <f t="shared" si="2"/>
        <v>1542.7400881417941</v>
      </c>
    </row>
    <row r="25" spans="2:10">
      <c r="B25" s="12">
        <f t="shared" si="0"/>
        <v>45901</v>
      </c>
      <c r="C25" s="7">
        <v>45922</v>
      </c>
      <c r="D25" s="8">
        <v>7621</v>
      </c>
      <c r="E25" s="9">
        <v>9354.6470000000008</v>
      </c>
      <c r="F25" s="8">
        <v>7418</v>
      </c>
      <c r="G25" s="8">
        <v>10570</v>
      </c>
      <c r="H25" s="10">
        <f t="shared" si="1"/>
        <v>86761444.787</v>
      </c>
      <c r="I25" s="14">
        <f>VLOOKUP(C25,'Draw Data'!A:B,2,0)</f>
        <v>56253</v>
      </c>
      <c r="J25" s="10">
        <f t="shared" si="2"/>
        <v>1542.3434267861269</v>
      </c>
    </row>
    <row r="26" spans="2:10">
      <c r="B26" s="12">
        <f t="shared" si="0"/>
        <v>45901</v>
      </c>
      <c r="C26" s="7">
        <v>45923</v>
      </c>
      <c r="D26" s="8">
        <v>7804</v>
      </c>
      <c r="E26" s="9">
        <v>9396.4189999999999</v>
      </c>
      <c r="F26" s="8">
        <v>7479</v>
      </c>
      <c r="G26" s="8">
        <v>12160</v>
      </c>
      <c r="H26" s="10">
        <f t="shared" si="1"/>
        <v>90219193.876000002</v>
      </c>
      <c r="I26" s="14">
        <f>VLOOKUP(C26,'Draw Data'!A:B,2,0)</f>
        <v>60307</v>
      </c>
      <c r="J26" s="10">
        <f t="shared" si="2"/>
        <v>1495.9987045616595</v>
      </c>
    </row>
    <row r="27" spans="2:10">
      <c r="B27" s="12">
        <f t="shared" si="0"/>
        <v>45901</v>
      </c>
      <c r="C27" s="7">
        <v>45924</v>
      </c>
      <c r="D27" s="8">
        <v>7697</v>
      </c>
      <c r="E27" s="9">
        <v>9471.2340000000004</v>
      </c>
      <c r="F27" s="8">
        <v>8522</v>
      </c>
      <c r="G27" s="8">
        <v>9830</v>
      </c>
      <c r="H27" s="10">
        <f t="shared" si="1"/>
        <v>88682808.098000005</v>
      </c>
      <c r="I27" s="14">
        <f>VLOOKUP(C27,'Draw Data'!A:B,2,0)</f>
        <v>57185</v>
      </c>
      <c r="J27" s="10">
        <f t="shared" si="2"/>
        <v>1550.8054227157472</v>
      </c>
    </row>
    <row r="28" spans="2:10">
      <c r="B28" s="12">
        <f t="shared" si="0"/>
        <v>45901</v>
      </c>
      <c r="C28" s="7">
        <v>45925</v>
      </c>
      <c r="D28" s="8">
        <v>7790</v>
      </c>
      <c r="E28" s="9">
        <v>9431.4570000000003</v>
      </c>
      <c r="F28" s="8">
        <v>8372</v>
      </c>
      <c r="G28" s="8">
        <v>8660</v>
      </c>
      <c r="H28" s="10">
        <f t="shared" si="1"/>
        <v>88118570.030000001</v>
      </c>
      <c r="I28" s="14">
        <f>VLOOKUP(C28,'Draw Data'!A:B,2,0)</f>
        <v>57359</v>
      </c>
      <c r="J28" s="10">
        <f t="shared" si="2"/>
        <v>1536.2640567304172</v>
      </c>
    </row>
    <row r="29" spans="2:10">
      <c r="B29" s="12">
        <f t="shared" si="0"/>
        <v>45901</v>
      </c>
      <c r="C29" s="7">
        <v>45926</v>
      </c>
      <c r="D29" s="8">
        <v>7433</v>
      </c>
      <c r="E29" s="9">
        <v>9726.1980000000003</v>
      </c>
      <c r="F29" s="8">
        <v>8031</v>
      </c>
      <c r="G29" s="8">
        <v>7760</v>
      </c>
      <c r="H29" s="10">
        <f t="shared" si="1"/>
        <v>85875089.733999997</v>
      </c>
      <c r="I29" s="14">
        <f>VLOOKUP(C29,'Draw Data'!A:B,2,0)</f>
        <v>54476</v>
      </c>
      <c r="J29" s="10">
        <f t="shared" si="2"/>
        <v>1576.3839072986268</v>
      </c>
    </row>
    <row r="30" spans="2:10">
      <c r="B30" s="12">
        <f t="shared" si="0"/>
        <v>45901</v>
      </c>
      <c r="C30" s="7">
        <v>45927</v>
      </c>
      <c r="D30" s="8">
        <v>7456</v>
      </c>
      <c r="E30" s="9">
        <v>9756.1450000000004</v>
      </c>
      <c r="F30" s="8">
        <v>8529</v>
      </c>
      <c r="G30" s="8">
        <v>6680</v>
      </c>
      <c r="H30" s="10">
        <f t="shared" si="1"/>
        <v>85821557.120000005</v>
      </c>
      <c r="I30" s="14">
        <f>VLOOKUP(C30,'Draw Data'!A:B,2,0)</f>
        <v>54850</v>
      </c>
      <c r="J30" s="10">
        <f t="shared" si="2"/>
        <v>1564.6592000000001</v>
      </c>
    </row>
    <row r="31" spans="2:10">
      <c r="B31" s="12">
        <f t="shared" si="0"/>
        <v>45901</v>
      </c>
      <c r="C31" s="7">
        <v>45928</v>
      </c>
      <c r="D31" s="8">
        <v>7544</v>
      </c>
      <c r="E31" s="9">
        <v>9656.1139999999996</v>
      </c>
      <c r="F31" s="8">
        <v>9293</v>
      </c>
      <c r="G31" s="8">
        <v>6520</v>
      </c>
      <c r="H31" s="10">
        <f t="shared" si="1"/>
        <v>86444904.016000003</v>
      </c>
      <c r="I31" s="14">
        <f>VLOOKUP(C31,'Draw Data'!A:B,2,0)</f>
        <v>55466</v>
      </c>
      <c r="J31" s="10">
        <f t="shared" si="2"/>
        <v>1558.5206075073017</v>
      </c>
    </row>
    <row r="32" spans="2:10">
      <c r="B32" s="12">
        <f t="shared" si="0"/>
        <v>45901</v>
      </c>
      <c r="C32" s="7">
        <v>45929</v>
      </c>
      <c r="D32" s="8">
        <v>7652</v>
      </c>
      <c r="E32" s="9">
        <v>9742.8970000000008</v>
      </c>
      <c r="F32" s="8">
        <v>9322</v>
      </c>
      <c r="G32" s="8">
        <v>4930</v>
      </c>
      <c r="H32" s="10">
        <f t="shared" si="1"/>
        <v>86809367.844000012</v>
      </c>
      <c r="I32" s="14">
        <f>VLOOKUP(C32,'Draw Data'!A:B,2,0)</f>
        <v>53483</v>
      </c>
      <c r="J32" s="10">
        <f t="shared" si="2"/>
        <v>1623.120764429819</v>
      </c>
    </row>
    <row r="33" spans="2:10">
      <c r="B33" s="12">
        <f t="shared" si="0"/>
        <v>45901</v>
      </c>
      <c r="C33" s="7">
        <v>45930</v>
      </c>
      <c r="D33" s="8">
        <v>7642</v>
      </c>
      <c r="E33" s="9">
        <v>9489.09</v>
      </c>
      <c r="F33" s="8">
        <v>10091</v>
      </c>
      <c r="G33" s="8">
        <v>3780</v>
      </c>
      <c r="H33" s="10">
        <f t="shared" si="1"/>
        <v>84444685.780000001</v>
      </c>
      <c r="I33" s="14">
        <f>VLOOKUP(C33,'Draw Data'!A:B,2,0)</f>
        <v>51309</v>
      </c>
      <c r="J33" s="10">
        <f t="shared" si="2"/>
        <v>1645.8065013935177</v>
      </c>
    </row>
    <row r="34" spans="2:10">
      <c r="B34" s="12">
        <f t="shared" si="0"/>
        <v>45931</v>
      </c>
      <c r="C34" s="7">
        <v>45931</v>
      </c>
      <c r="D34" s="8">
        <v>7714</v>
      </c>
      <c r="E34" s="9">
        <v>9431.6929999999993</v>
      </c>
      <c r="F34" s="8">
        <v>8981</v>
      </c>
      <c r="G34" s="8">
        <v>4190</v>
      </c>
      <c r="H34" s="10">
        <f t="shared" si="1"/>
        <v>84083139.802000001</v>
      </c>
      <c r="I34" s="14">
        <f>VLOOKUP(C34,'Draw Data'!A:B,2,0)</f>
        <v>53102</v>
      </c>
      <c r="J34" s="10">
        <f t="shared" si="2"/>
        <v>1583.4269858385749</v>
      </c>
    </row>
    <row r="35" spans="2:10">
      <c r="B35" s="12">
        <f t="shared" si="0"/>
        <v>45931</v>
      </c>
      <c r="C35" s="7">
        <v>45932</v>
      </c>
      <c r="D35" s="8">
        <v>7647</v>
      </c>
      <c r="E35" s="9">
        <v>9399.9220000000005</v>
      </c>
      <c r="F35" s="8">
        <v>9561</v>
      </c>
      <c r="G35" s="8">
        <v>2150</v>
      </c>
      <c r="H35" s="10">
        <f t="shared" si="1"/>
        <v>81952663.534000009</v>
      </c>
      <c r="I35" s="14">
        <f>VLOOKUP(C35,'Draw Data'!A:B,2,0)</f>
        <v>53346</v>
      </c>
      <c r="J35" s="10">
        <f t="shared" si="2"/>
        <v>1536.2475824616656</v>
      </c>
    </row>
    <row r="36" spans="2:10">
      <c r="B36" s="12">
        <f t="shared" si="0"/>
        <v>45931</v>
      </c>
      <c r="C36" s="7">
        <v>45933</v>
      </c>
      <c r="D36" s="8">
        <v>7808</v>
      </c>
      <c r="E36" s="9">
        <v>9342.1550000000007</v>
      </c>
      <c r="F36" s="8">
        <v>7543</v>
      </c>
      <c r="G36" s="8">
        <v>7390</v>
      </c>
      <c r="H36" s="10">
        <f t="shared" si="1"/>
        <v>85785926.24000001</v>
      </c>
      <c r="I36" s="14">
        <f>VLOOKUP(C36,'Draw Data'!A:B,2,0)</f>
        <v>55178</v>
      </c>
      <c r="J36" s="10">
        <f t="shared" si="2"/>
        <v>1554.7124984595312</v>
      </c>
    </row>
    <row r="37" spans="2:10">
      <c r="B37" s="12">
        <f t="shared" si="0"/>
        <v>45931</v>
      </c>
      <c r="C37" s="7">
        <v>45934</v>
      </c>
      <c r="D37" s="8">
        <v>7741</v>
      </c>
      <c r="E37" s="9">
        <v>9394.5869999999995</v>
      </c>
      <c r="F37" s="8">
        <v>6847</v>
      </c>
      <c r="G37" s="8">
        <v>11830</v>
      </c>
      <c r="H37" s="10">
        <f t="shared" si="1"/>
        <v>88785717.966999993</v>
      </c>
      <c r="I37" s="14">
        <f>VLOOKUP(C37,'Draw Data'!A:B,2,0)</f>
        <v>58751</v>
      </c>
      <c r="J37" s="10">
        <f t="shared" si="2"/>
        <v>1511.2205403652702</v>
      </c>
    </row>
    <row r="38" spans="2:10">
      <c r="B38" s="12">
        <f t="shared" si="0"/>
        <v>45931</v>
      </c>
      <c r="C38" s="7">
        <v>45935</v>
      </c>
      <c r="D38" s="8">
        <v>7763</v>
      </c>
      <c r="E38" s="9">
        <v>9374.9539999999997</v>
      </c>
      <c r="F38" s="8">
        <v>8056</v>
      </c>
      <c r="G38" s="8">
        <v>11150</v>
      </c>
      <c r="H38" s="10">
        <f t="shared" si="1"/>
        <v>89294927.901999995</v>
      </c>
      <c r="I38" s="14">
        <f>VLOOKUP(C38,'Draw Data'!A:B,2,0)</f>
        <v>59634</v>
      </c>
      <c r="J38" s="10">
        <f t="shared" si="2"/>
        <v>1497.3828336519434</v>
      </c>
    </row>
    <row r="39" spans="2:10">
      <c r="B39" s="12">
        <f t="shared" si="0"/>
        <v>45931</v>
      </c>
      <c r="C39" s="7">
        <v>45936</v>
      </c>
      <c r="D39" s="8">
        <v>7523</v>
      </c>
      <c r="E39" s="9">
        <v>9514.5</v>
      </c>
      <c r="F39" s="8">
        <v>8041</v>
      </c>
      <c r="G39" s="8">
        <v>10270</v>
      </c>
      <c r="H39" s="10">
        <f t="shared" si="1"/>
        <v>87325043.5</v>
      </c>
      <c r="I39" s="14">
        <f>VLOOKUP(C39,'Draw Data'!A:B,2,0)</f>
        <v>56718</v>
      </c>
      <c r="J39" s="10">
        <f t="shared" si="2"/>
        <v>1539.635450826898</v>
      </c>
    </row>
    <row r="40" spans="2:10">
      <c r="B40" s="12">
        <f t="shared" si="0"/>
        <v>45931</v>
      </c>
      <c r="C40" s="7">
        <v>45937</v>
      </c>
      <c r="D40" s="8">
        <v>7692</v>
      </c>
      <c r="E40" s="9">
        <v>9374.2639999999992</v>
      </c>
      <c r="F40" s="8">
        <v>8051</v>
      </c>
      <c r="G40" s="8">
        <v>8740</v>
      </c>
      <c r="H40" s="10">
        <f t="shared" si="1"/>
        <v>86547098.687999994</v>
      </c>
      <c r="I40" s="14">
        <f>VLOOKUP(C40,'Draw Data'!A:B,2,0)</f>
        <v>55295</v>
      </c>
      <c r="J40" s="10">
        <f t="shared" si="2"/>
        <v>1565.1885104982366</v>
      </c>
    </row>
    <row r="41" spans="2:10">
      <c r="B41" s="12">
        <f t="shared" si="0"/>
        <v>45931</v>
      </c>
      <c r="C41" s="7">
        <v>45938</v>
      </c>
      <c r="D41" s="8">
        <v>7552</v>
      </c>
      <c r="E41" s="9">
        <v>9429.4079999999994</v>
      </c>
      <c r="F41" s="8">
        <v>8066</v>
      </c>
      <c r="G41" s="8">
        <v>9290</v>
      </c>
      <c r="H41" s="10">
        <f t="shared" si="1"/>
        <v>86137049.215999991</v>
      </c>
      <c r="I41" s="14">
        <f>VLOOKUP(C41,'Draw Data'!A:B,2,0)</f>
        <v>55517</v>
      </c>
      <c r="J41" s="10">
        <f t="shared" si="2"/>
        <v>1551.5436571860869</v>
      </c>
    </row>
    <row r="42" spans="2:10">
      <c r="B42" s="12">
        <f t="shared" si="0"/>
        <v>45931</v>
      </c>
      <c r="C42" s="7">
        <v>45939</v>
      </c>
      <c r="D42" s="8">
        <v>7630</v>
      </c>
      <c r="E42" s="9">
        <v>9366.6820000000007</v>
      </c>
      <c r="F42" s="8">
        <v>8109</v>
      </c>
      <c r="G42" s="8">
        <v>9790</v>
      </c>
      <c r="H42" s="10">
        <f t="shared" si="1"/>
        <v>86860923.660000011</v>
      </c>
      <c r="I42" s="14">
        <f>VLOOKUP(C42,'Draw Data'!A:B,2,0)</f>
        <v>56434</v>
      </c>
      <c r="J42" s="10">
        <f t="shared" si="2"/>
        <v>1539.1594368643018</v>
      </c>
    </row>
    <row r="43" spans="2:10">
      <c r="B43" s="12">
        <f t="shared" si="0"/>
        <v>45931</v>
      </c>
      <c r="C43" s="7">
        <v>45940</v>
      </c>
      <c r="D43" s="8">
        <v>7651</v>
      </c>
      <c r="E43" s="9">
        <v>9409.7420000000002</v>
      </c>
      <c r="F43" s="8">
        <v>8013</v>
      </c>
      <c r="G43" s="8">
        <v>6190</v>
      </c>
      <c r="H43" s="10">
        <f t="shared" si="1"/>
        <v>84208516.041999996</v>
      </c>
      <c r="I43" s="14">
        <f>VLOOKUP(C43,'Draw Data'!A:B,2,0)</f>
        <v>51809</v>
      </c>
      <c r="J43" s="10">
        <f t="shared" si="2"/>
        <v>1625.3646285780462</v>
      </c>
    </row>
    <row r="44" spans="2:10">
      <c r="B44" s="12">
        <f t="shared" si="0"/>
        <v>45931</v>
      </c>
      <c r="C44" s="7">
        <v>45941</v>
      </c>
      <c r="D44" s="8">
        <v>7645</v>
      </c>
      <c r="E44" s="9">
        <v>9471.1299999999992</v>
      </c>
      <c r="F44" s="8">
        <v>8061</v>
      </c>
      <c r="G44" s="8">
        <v>6760</v>
      </c>
      <c r="H44" s="10">
        <f t="shared" si="1"/>
        <v>85152848.849999994</v>
      </c>
      <c r="I44" s="14">
        <f>VLOOKUP(C44,'Draw Data'!A:B,2,0)</f>
        <v>53777</v>
      </c>
      <c r="J44" s="10">
        <f t="shared" si="2"/>
        <v>1583.443644122952</v>
      </c>
    </row>
    <row r="45" spans="2:10">
      <c r="B45" s="12">
        <f t="shared" si="0"/>
        <v>45931</v>
      </c>
      <c r="C45" s="7">
        <v>45942</v>
      </c>
      <c r="D45" s="8">
        <v>7700</v>
      </c>
      <c r="E45" s="9">
        <v>9540.6049999999996</v>
      </c>
      <c r="F45" s="8">
        <v>7786</v>
      </c>
      <c r="G45" s="8">
        <v>6250</v>
      </c>
      <c r="H45" s="10">
        <f t="shared" si="1"/>
        <v>85533618.5</v>
      </c>
      <c r="I45" s="14">
        <f>VLOOKUP(C45,'Draw Data'!A:B,2,0)</f>
        <v>52929</v>
      </c>
      <c r="J45" s="10">
        <f t="shared" si="2"/>
        <v>1616.0066976515709</v>
      </c>
    </row>
    <row r="46" spans="2:10">
      <c r="B46" s="12">
        <f t="shared" si="0"/>
        <v>45931</v>
      </c>
      <c r="C46" s="7">
        <v>45943</v>
      </c>
      <c r="D46" s="8">
        <v>7834</v>
      </c>
      <c r="E46" s="9">
        <v>9510.0040000000008</v>
      </c>
      <c r="F46" s="8">
        <v>7501</v>
      </c>
      <c r="G46" s="8">
        <v>8110</v>
      </c>
      <c r="H46" s="10">
        <f t="shared" si="1"/>
        <v>87926831.33600001</v>
      </c>
      <c r="I46" s="14">
        <f>VLOOKUP(C46,'Draw Data'!A:B,2,0)</f>
        <v>57019</v>
      </c>
      <c r="J46" s="10">
        <f t="shared" si="2"/>
        <v>1542.0619676949791</v>
      </c>
    </row>
    <row r="47" spans="2:10">
      <c r="B47" s="12">
        <f t="shared" si="0"/>
        <v>45931</v>
      </c>
      <c r="C47" s="7">
        <v>45944</v>
      </c>
      <c r="D47" s="8">
        <v>7657</v>
      </c>
      <c r="E47" s="9">
        <v>9562.8279999999995</v>
      </c>
      <c r="F47" s="8">
        <v>7373</v>
      </c>
      <c r="G47" s="8">
        <v>9490</v>
      </c>
      <c r="H47" s="10">
        <f t="shared" si="1"/>
        <v>87724753.995999992</v>
      </c>
      <c r="I47" s="14">
        <f>VLOOKUP(C47,'Draw Data'!A:B,2,0)</f>
        <v>57137</v>
      </c>
      <c r="J47" s="10">
        <f t="shared" si="2"/>
        <v>1535.3405673381519</v>
      </c>
    </row>
    <row r="48" spans="2:10">
      <c r="B48" s="12">
        <f t="shared" si="0"/>
        <v>45931</v>
      </c>
      <c r="C48" s="7">
        <v>45945</v>
      </c>
      <c r="D48" s="8">
        <v>7568</v>
      </c>
      <c r="E48" s="9">
        <v>9604.8160000000007</v>
      </c>
      <c r="F48" s="8">
        <v>7347</v>
      </c>
      <c r="G48" s="8">
        <v>9870</v>
      </c>
      <c r="H48" s="10">
        <f t="shared" si="1"/>
        <v>87495867.488000005</v>
      </c>
      <c r="I48" s="14">
        <f>VLOOKUP(C48,'Draw Data'!A:B,2,0)</f>
        <v>57234</v>
      </c>
      <c r="J48" s="10">
        <f t="shared" si="2"/>
        <v>1528.7393417898452</v>
      </c>
    </row>
    <row r="49" spans="2:10">
      <c r="B49" s="12">
        <f t="shared" si="0"/>
        <v>45931</v>
      </c>
      <c r="C49" s="7">
        <v>45946</v>
      </c>
      <c r="D49" s="8">
        <v>7552</v>
      </c>
      <c r="E49" s="9">
        <v>9645.0570000000007</v>
      </c>
      <c r="F49" s="8">
        <v>7331</v>
      </c>
      <c r="G49" s="8">
        <v>11330</v>
      </c>
      <c r="H49" s="10">
        <f t="shared" si="1"/>
        <v>88887930.464000002</v>
      </c>
      <c r="I49" s="14">
        <f>VLOOKUP(C49,'Draw Data'!A:B,2,0)</f>
        <v>59680</v>
      </c>
      <c r="J49" s="10">
        <f t="shared" si="2"/>
        <v>1489.4090225201073</v>
      </c>
    </row>
    <row r="50" spans="2:10">
      <c r="B50" s="12">
        <f t="shared" si="0"/>
        <v>45931</v>
      </c>
      <c r="C50" s="7">
        <v>45947</v>
      </c>
      <c r="D50" s="8">
        <v>7618</v>
      </c>
      <c r="E50" s="9">
        <v>9533.6409999999996</v>
      </c>
      <c r="F50" s="8">
        <v>7331</v>
      </c>
      <c r="G50" s="8">
        <v>12050</v>
      </c>
      <c r="H50" s="10">
        <f t="shared" si="1"/>
        <v>89294937.137999997</v>
      </c>
      <c r="I50" s="14">
        <f>VLOOKUP(C50,'Draw Data'!A:B,2,0)</f>
        <v>60175</v>
      </c>
      <c r="J50" s="10">
        <f t="shared" si="2"/>
        <v>1483.9208498213543</v>
      </c>
    </row>
    <row r="51" spans="2:10">
      <c r="B51" s="12">
        <f t="shared" si="0"/>
        <v>45931</v>
      </c>
      <c r="C51" s="7">
        <v>45948</v>
      </c>
      <c r="D51" s="8">
        <v>7699</v>
      </c>
      <c r="E51" s="9">
        <v>9602.3909999999996</v>
      </c>
      <c r="F51" s="8">
        <v>7846</v>
      </c>
      <c r="G51" s="8">
        <v>11450</v>
      </c>
      <c r="H51" s="10">
        <f t="shared" si="1"/>
        <v>90523368.309</v>
      </c>
      <c r="I51" s="14">
        <f>VLOOKUP(C51,'Draw Data'!A:B,2,0)</f>
        <v>60728</v>
      </c>
      <c r="J51" s="10">
        <f t="shared" si="2"/>
        <v>1490.636416628244</v>
      </c>
    </row>
    <row r="52" spans="2:10">
      <c r="B52" s="12">
        <f t="shared" si="0"/>
        <v>45931</v>
      </c>
      <c r="C52" s="7">
        <v>45949</v>
      </c>
      <c r="D52" s="8">
        <v>7553</v>
      </c>
      <c r="E52" s="9">
        <v>9757.9599999999991</v>
      </c>
      <c r="F52" s="8">
        <v>8106</v>
      </c>
      <c r="G52" s="8">
        <v>10990</v>
      </c>
      <c r="H52" s="10">
        <f t="shared" si="1"/>
        <v>90124431.879999995</v>
      </c>
      <c r="I52" s="14">
        <f>VLOOKUP(C52,'Draw Data'!A:B,2,0)</f>
        <v>60151</v>
      </c>
      <c r="J52" s="10">
        <f t="shared" si="2"/>
        <v>1498.3031351099733</v>
      </c>
    </row>
    <row r="53" spans="2:10">
      <c r="B53" s="12">
        <f t="shared" si="0"/>
        <v>45931</v>
      </c>
      <c r="C53" s="7">
        <v>45950</v>
      </c>
      <c r="D53" s="8">
        <v>7466</v>
      </c>
      <c r="E53" s="9">
        <v>9629.2489999999998</v>
      </c>
      <c r="F53" s="8">
        <v>8087</v>
      </c>
      <c r="G53" s="8">
        <v>11910</v>
      </c>
      <c r="H53" s="10">
        <f t="shared" si="1"/>
        <v>89089393.033999994</v>
      </c>
      <c r="I53" s="14">
        <f>VLOOKUP(C53,'Draw Data'!A:B,2,0)</f>
        <v>60227</v>
      </c>
      <c r="J53" s="10">
        <f t="shared" si="2"/>
        <v>1479.2268091387582</v>
      </c>
    </row>
    <row r="54" spans="2:10">
      <c r="B54" s="12">
        <f t="shared" si="0"/>
        <v>45931</v>
      </c>
      <c r="C54" s="7">
        <v>45951</v>
      </c>
      <c r="D54" s="8">
        <v>7424</v>
      </c>
      <c r="E54" s="9">
        <v>9660.6080000000002</v>
      </c>
      <c r="F54" s="8">
        <v>8076</v>
      </c>
      <c r="G54" s="8">
        <v>12420</v>
      </c>
      <c r="H54" s="10">
        <f t="shared" si="1"/>
        <v>89346913.791999996</v>
      </c>
      <c r="I54" s="14">
        <f>VLOOKUP(C54,'Draw Data'!A:B,2,0)</f>
        <v>60183</v>
      </c>
      <c r="J54" s="10">
        <f t="shared" si="2"/>
        <v>1484.5872387883621</v>
      </c>
    </row>
    <row r="55" spans="2:10">
      <c r="B55" s="12">
        <f t="shared" si="0"/>
        <v>45931</v>
      </c>
      <c r="C55" s="7">
        <v>45952</v>
      </c>
      <c r="D55" s="8">
        <v>7593</v>
      </c>
      <c r="E55" s="9">
        <v>9579.1569999999992</v>
      </c>
      <c r="F55" s="8">
        <v>8031</v>
      </c>
      <c r="G55" s="8">
        <v>11620</v>
      </c>
      <c r="H55" s="10">
        <f t="shared" si="1"/>
        <v>89634399.100999996</v>
      </c>
      <c r="I55" s="14">
        <f>VLOOKUP(C55,'Draw Data'!A:B,2,0)</f>
        <v>60372</v>
      </c>
      <c r="J55" s="10">
        <f t="shared" si="2"/>
        <v>1484.7015023686477</v>
      </c>
    </row>
    <row r="56" spans="2:10">
      <c r="B56" s="12">
        <f t="shared" si="0"/>
        <v>45931</v>
      </c>
      <c r="C56" s="7">
        <v>45953</v>
      </c>
      <c r="D56" s="8">
        <v>7773</v>
      </c>
      <c r="E56" s="9">
        <v>9505.1550000000007</v>
      </c>
      <c r="F56" s="8">
        <v>8120</v>
      </c>
      <c r="G56" s="8">
        <v>8990</v>
      </c>
      <c r="H56" s="10">
        <f t="shared" si="1"/>
        <v>88598169.815000013</v>
      </c>
      <c r="I56" s="14">
        <f>VLOOKUP(C56,'Draw Data'!A:B,2,0)</f>
        <v>56614</v>
      </c>
      <c r="J56" s="10">
        <f t="shared" si="2"/>
        <v>1564.951598809482</v>
      </c>
    </row>
    <row r="57" spans="2:10">
      <c r="B57" s="12">
        <f t="shared" si="0"/>
        <v>45931</v>
      </c>
      <c r="C57" s="7">
        <v>45954</v>
      </c>
      <c r="D57" s="8">
        <v>7705</v>
      </c>
      <c r="E57" s="9">
        <v>9461.598</v>
      </c>
      <c r="F57" s="8">
        <v>7390</v>
      </c>
      <c r="G57" s="8">
        <v>7990</v>
      </c>
      <c r="H57" s="10">
        <f t="shared" si="1"/>
        <v>86128412.590000004</v>
      </c>
      <c r="I57" s="14">
        <f>VLOOKUP(C57,'Draw Data'!A:B,2,0)</f>
        <v>55497</v>
      </c>
      <c r="J57" s="10">
        <f t="shared" si="2"/>
        <v>1551.9471789466097</v>
      </c>
    </row>
    <row r="58" spans="2:10">
      <c r="B58" s="12">
        <f t="shared" si="0"/>
        <v>45931</v>
      </c>
      <c r="C58" s="7">
        <v>45955</v>
      </c>
      <c r="D58" s="8">
        <v>7723</v>
      </c>
      <c r="E58" s="9">
        <v>9594.6990000000005</v>
      </c>
      <c r="F58" s="8">
        <v>7093</v>
      </c>
      <c r="G58" s="8">
        <v>9102</v>
      </c>
      <c r="H58" s="10">
        <f t="shared" si="1"/>
        <v>88027560.377000004</v>
      </c>
      <c r="I58" s="14">
        <f>VLOOKUP(C58,'Draw Data'!A:B,2,0)</f>
        <v>56243</v>
      </c>
      <c r="J58" s="10">
        <f t="shared" si="2"/>
        <v>1565.1291783333038</v>
      </c>
    </row>
    <row r="59" spans="2:10">
      <c r="B59" s="12">
        <f t="shared" si="0"/>
        <v>45931</v>
      </c>
      <c r="C59" s="7">
        <v>45956</v>
      </c>
      <c r="D59" s="8">
        <v>7785</v>
      </c>
      <c r="E59" s="9">
        <v>9531.1630000000005</v>
      </c>
      <c r="F59" s="8">
        <v>7616</v>
      </c>
      <c r="G59" s="8">
        <v>10388</v>
      </c>
      <c r="H59" s="10">
        <f t="shared" si="1"/>
        <v>89683543.954999998</v>
      </c>
      <c r="I59" s="14">
        <f>VLOOKUP(C59,'Draw Data'!A:B,2,0)</f>
        <v>58910</v>
      </c>
      <c r="J59" s="10">
        <f t="shared" si="2"/>
        <v>1522.3823451875742</v>
      </c>
    </row>
    <row r="60" spans="2:10">
      <c r="B60" s="12">
        <f t="shared" si="0"/>
        <v>45931</v>
      </c>
      <c r="C60" s="7">
        <v>45957</v>
      </c>
      <c r="D60" s="8">
        <v>7675</v>
      </c>
      <c r="E60" s="9">
        <v>9490.7000000000007</v>
      </c>
      <c r="F60" s="8">
        <v>8210</v>
      </c>
      <c r="G60" s="8">
        <v>10640</v>
      </c>
      <c r="H60" s="10">
        <f t="shared" si="1"/>
        <v>89052122.5</v>
      </c>
      <c r="I60" s="14">
        <f>VLOOKUP(C60,'Draw Data'!A:B,2,0)</f>
        <v>59103</v>
      </c>
      <c r="J60" s="10">
        <f t="shared" si="2"/>
        <v>1506.7276195793784</v>
      </c>
    </row>
    <row r="61" spans="2:10">
      <c r="B61" s="12">
        <f t="shared" si="0"/>
        <v>45931</v>
      </c>
      <c r="C61" s="7">
        <v>45958</v>
      </c>
      <c r="D61" s="8">
        <v>7930</v>
      </c>
      <c r="E61" s="9">
        <v>9485.9750000000004</v>
      </c>
      <c r="F61" s="8">
        <v>8355</v>
      </c>
      <c r="G61" s="8">
        <v>9990</v>
      </c>
      <c r="H61" s="10">
        <f t="shared" si="1"/>
        <v>91000481.75</v>
      </c>
      <c r="I61" s="14">
        <f>VLOOKUP(C61,'Draw Data'!A:B,2,0)</f>
        <v>59166</v>
      </c>
      <c r="J61" s="10">
        <f t="shared" si="2"/>
        <v>1538.0536414494811</v>
      </c>
    </row>
    <row r="62" spans="2:10">
      <c r="B62" s="12">
        <f t="shared" si="0"/>
        <v>45931</v>
      </c>
      <c r="C62" s="7">
        <v>45959</v>
      </c>
      <c r="D62" s="8">
        <v>7876</v>
      </c>
      <c r="E62" s="9">
        <v>9477.5949999999993</v>
      </c>
      <c r="F62" s="8">
        <v>8466</v>
      </c>
      <c r="G62" s="8">
        <v>10100</v>
      </c>
      <c r="H62" s="10">
        <f t="shared" si="1"/>
        <v>90612298.219999999</v>
      </c>
      <c r="I62" s="14">
        <f>VLOOKUP(C62,'Draw Data'!A:B,2,0)</f>
        <v>59547</v>
      </c>
      <c r="J62" s="10">
        <f t="shared" si="2"/>
        <v>1521.6937582078021</v>
      </c>
    </row>
    <row r="63" spans="2:10">
      <c r="B63" s="12">
        <f t="shared" si="0"/>
        <v>45931</v>
      </c>
      <c r="C63" s="7">
        <v>45960</v>
      </c>
      <c r="D63" s="8">
        <v>7965</v>
      </c>
      <c r="E63" s="9">
        <v>9498.8109999999997</v>
      </c>
      <c r="F63" s="8">
        <v>8524</v>
      </c>
      <c r="G63" s="8">
        <v>11140</v>
      </c>
      <c r="H63" s="10">
        <f t="shared" si="1"/>
        <v>92569069.614999995</v>
      </c>
      <c r="I63" s="14">
        <f>VLOOKUP(C63,'Draw Data'!A:B,2,0)</f>
        <v>60400</v>
      </c>
      <c r="J63" s="10">
        <f t="shared" si="2"/>
        <v>1532.6004903145695</v>
      </c>
    </row>
    <row r="64" spans="2:10">
      <c r="B64" s="12">
        <f t="shared" si="0"/>
        <v>45931</v>
      </c>
      <c r="C64" s="7">
        <v>45961</v>
      </c>
      <c r="D64" s="8">
        <v>7638</v>
      </c>
      <c r="E64" s="9">
        <v>9549.9779999999992</v>
      </c>
      <c r="F64" s="8">
        <v>8328</v>
      </c>
      <c r="G64" s="8">
        <v>11230</v>
      </c>
      <c r="H64" s="10">
        <f t="shared" si="1"/>
        <v>89762611.963999987</v>
      </c>
      <c r="I64" s="14">
        <f>VLOOKUP(C64,'Draw Data'!A:B,2,0)</f>
        <v>58920</v>
      </c>
      <c r="J64" s="10">
        <f t="shared" si="2"/>
        <v>1523.4659192803799</v>
      </c>
    </row>
    <row r="65" spans="2:10">
      <c r="B65" s="12">
        <f t="shared" si="0"/>
        <v>45962</v>
      </c>
      <c r="C65" s="7">
        <v>45962</v>
      </c>
      <c r="D65" s="8">
        <v>7700</v>
      </c>
      <c r="E65" s="9">
        <v>9559.4719999999998</v>
      </c>
      <c r="F65" s="8">
        <v>8775</v>
      </c>
      <c r="G65" s="8">
        <v>11080</v>
      </c>
      <c r="H65" s="10">
        <f t="shared" si="1"/>
        <v>90683234.399999991</v>
      </c>
      <c r="I65" s="14">
        <f>VLOOKUP(C65,'Draw Data'!A:B,2,0)</f>
        <v>59443</v>
      </c>
      <c r="J65" s="10">
        <f t="shared" si="2"/>
        <v>1525.5494238177748</v>
      </c>
    </row>
    <row r="66" spans="2:10">
      <c r="B66" s="12">
        <f t="shared" si="0"/>
        <v>45962</v>
      </c>
      <c r="C66" s="7">
        <v>45963</v>
      </c>
      <c r="D66" s="8">
        <v>8108</v>
      </c>
      <c r="E66" s="9">
        <v>8888.9490000000005</v>
      </c>
      <c r="F66" s="8">
        <v>8786</v>
      </c>
      <c r="G66" s="8">
        <v>10790</v>
      </c>
      <c r="H66" s="10">
        <f t="shared" si="1"/>
        <v>88906958.491999999</v>
      </c>
      <c r="I66" s="14">
        <f>VLOOKUP(C66,'Draw Data'!A:B,2,0)</f>
        <v>58655</v>
      </c>
      <c r="J66" s="10">
        <f t="shared" si="2"/>
        <v>1515.7609494842725</v>
      </c>
    </row>
    <row r="67" spans="2:10">
      <c r="B67" s="12">
        <f t="shared" si="0"/>
        <v>45962</v>
      </c>
      <c r="C67" s="7">
        <v>45964</v>
      </c>
      <c r="D67" s="8">
        <v>8087</v>
      </c>
      <c r="E67" s="9">
        <v>9134.5949999999993</v>
      </c>
      <c r="F67" s="8">
        <v>8827</v>
      </c>
      <c r="G67" s="8">
        <v>11590</v>
      </c>
      <c r="H67" s="10">
        <f t="shared" si="1"/>
        <v>91430089.765000001</v>
      </c>
      <c r="I67" s="14">
        <f>VLOOKUP(C67,'Draw Data'!A:B,2,0)</f>
        <v>60084</v>
      </c>
      <c r="J67" s="10">
        <f t="shared" si="2"/>
        <v>1521.704443196192</v>
      </c>
    </row>
    <row r="68" spans="2:10">
      <c r="B68" s="12">
        <f t="shared" si="0"/>
        <v>45962</v>
      </c>
      <c r="C68" s="7">
        <v>45965</v>
      </c>
      <c r="D68" s="8">
        <v>7830</v>
      </c>
      <c r="E68" s="9">
        <v>9388.02</v>
      </c>
      <c r="F68" s="8">
        <v>8843</v>
      </c>
      <c r="G68" s="8">
        <v>11170</v>
      </c>
      <c r="H68" s="10">
        <f t="shared" si="1"/>
        <v>90719376.600000009</v>
      </c>
      <c r="I68" s="14">
        <f>VLOOKUP(C68,'Draw Data'!A:B,2,0)</f>
        <v>59198</v>
      </c>
      <c r="J68" s="10">
        <f t="shared" si="2"/>
        <v>1532.4736747863105</v>
      </c>
    </row>
    <row r="69" spans="2:10">
      <c r="B69" s="12">
        <f t="shared" ref="B69:B132" si="3">DATE(YEAR(C69),MONTH(C69),1)</f>
        <v>45962</v>
      </c>
      <c r="C69" s="7">
        <v>45966</v>
      </c>
      <c r="D69" s="8">
        <v>7785</v>
      </c>
      <c r="E69" s="9">
        <v>9344.2369999999992</v>
      </c>
      <c r="F69" s="8">
        <v>8853</v>
      </c>
      <c r="G69" s="8">
        <v>10420</v>
      </c>
      <c r="H69" s="10">
        <f t="shared" ref="H69:H132" si="4">((D69 *(E69))+ ((F69+G69)*860))</f>
        <v>89319665.044999987</v>
      </c>
      <c r="I69" s="14">
        <f>VLOOKUP(C69,'Draw Data'!A:B,2,0)</f>
        <v>57272</v>
      </c>
      <c r="J69" s="10">
        <f t="shared" ref="J69:J132" si="5">H69/I69</f>
        <v>1559.5695111922055</v>
      </c>
    </row>
    <row r="70" spans="2:10">
      <c r="B70" s="12">
        <f t="shared" si="3"/>
        <v>45962</v>
      </c>
      <c r="C70" s="7">
        <v>45967</v>
      </c>
      <c r="D70" s="8">
        <v>8034</v>
      </c>
      <c r="E70" s="9">
        <v>9190.0869999999995</v>
      </c>
      <c r="F70" s="8">
        <v>9106</v>
      </c>
      <c r="G70" s="8">
        <v>10000</v>
      </c>
      <c r="H70" s="10">
        <f t="shared" si="4"/>
        <v>90264318.957999989</v>
      </c>
      <c r="I70" s="14">
        <f>VLOOKUP(C70,'Draw Data'!A:B,2,0)</f>
        <v>57185</v>
      </c>
      <c r="J70" s="10">
        <f t="shared" si="5"/>
        <v>1578.4614664335052</v>
      </c>
    </row>
    <row r="71" spans="2:10">
      <c r="B71" s="12">
        <f t="shared" si="3"/>
        <v>45962</v>
      </c>
      <c r="C71" s="7">
        <v>45968</v>
      </c>
      <c r="D71" s="8">
        <v>8016</v>
      </c>
      <c r="E71" s="9">
        <v>9335.4429999999993</v>
      </c>
      <c r="F71" s="8">
        <v>9102</v>
      </c>
      <c r="G71" s="8">
        <v>8210</v>
      </c>
      <c r="H71" s="10">
        <f t="shared" si="4"/>
        <v>89721231.088</v>
      </c>
      <c r="I71" s="14">
        <f>VLOOKUP(C71,'Draw Data'!A:B,2,0)</f>
        <v>57131</v>
      </c>
      <c r="J71" s="10">
        <f t="shared" si="5"/>
        <v>1570.4474118779647</v>
      </c>
    </row>
    <row r="72" spans="2:10">
      <c r="B72" s="12">
        <f t="shared" si="3"/>
        <v>45962</v>
      </c>
      <c r="C72" s="7">
        <v>45969</v>
      </c>
      <c r="D72" s="8">
        <v>7925</v>
      </c>
      <c r="E72" s="9">
        <v>9534.4619999999995</v>
      </c>
      <c r="F72" s="8">
        <v>9178</v>
      </c>
      <c r="G72" s="8">
        <v>7240</v>
      </c>
      <c r="H72" s="10">
        <f t="shared" si="4"/>
        <v>89680091.349999994</v>
      </c>
      <c r="I72" s="14">
        <f>VLOOKUP(C72,'Draw Data'!A:B,2,0)</f>
        <v>56110</v>
      </c>
      <c r="J72" s="10">
        <f t="shared" si="5"/>
        <v>1598.2907030832293</v>
      </c>
    </row>
    <row r="73" spans="2:10">
      <c r="B73" s="12">
        <f t="shared" si="3"/>
        <v>45962</v>
      </c>
      <c r="C73" s="7">
        <v>45970</v>
      </c>
      <c r="D73" s="8">
        <v>7828</v>
      </c>
      <c r="E73" s="9">
        <v>9630.8430000000008</v>
      </c>
      <c r="F73" s="8">
        <v>9044</v>
      </c>
      <c r="G73" s="8">
        <v>7640</v>
      </c>
      <c r="H73" s="10">
        <f t="shared" si="4"/>
        <v>89738479.004000008</v>
      </c>
      <c r="I73" s="14">
        <f>VLOOKUP(C73,'Draw Data'!A:B,2,0)</f>
        <v>56717</v>
      </c>
      <c r="J73" s="10">
        <f t="shared" si="5"/>
        <v>1582.2148386550771</v>
      </c>
    </row>
    <row r="74" spans="2:10">
      <c r="B74" s="12">
        <f t="shared" si="3"/>
        <v>45962</v>
      </c>
      <c r="C74" s="7">
        <v>45971</v>
      </c>
      <c r="D74" s="8">
        <v>7906</v>
      </c>
      <c r="E74" s="9">
        <v>9678.1020000000008</v>
      </c>
      <c r="F74" s="8">
        <v>9129</v>
      </c>
      <c r="G74" s="8">
        <v>8630</v>
      </c>
      <c r="H74" s="10">
        <f t="shared" si="4"/>
        <v>91787814.412</v>
      </c>
      <c r="I74" s="14">
        <f>VLOOKUP(C74,'Draw Data'!A:B,2,0)</f>
        <v>59970</v>
      </c>
      <c r="J74" s="10">
        <f t="shared" si="5"/>
        <v>1530.562187960647</v>
      </c>
    </row>
    <row r="75" spans="2:10">
      <c r="B75" s="12">
        <f t="shared" si="3"/>
        <v>45962</v>
      </c>
      <c r="C75" s="7">
        <v>45972</v>
      </c>
      <c r="D75" s="8">
        <v>7890</v>
      </c>
      <c r="E75" s="9">
        <v>9714.0210000000006</v>
      </c>
      <c r="F75" s="8">
        <v>9148</v>
      </c>
      <c r="G75" s="8">
        <v>8870</v>
      </c>
      <c r="H75" s="10">
        <f t="shared" si="4"/>
        <v>92139105.689999998</v>
      </c>
      <c r="I75" s="14">
        <f>VLOOKUP(C75,'Draw Data'!A:B,2,0)</f>
        <v>60437</v>
      </c>
      <c r="J75" s="10">
        <f t="shared" si="5"/>
        <v>1524.5479704485663</v>
      </c>
    </row>
    <row r="76" spans="2:10">
      <c r="B76" s="12">
        <f t="shared" si="3"/>
        <v>45962</v>
      </c>
      <c r="C76" s="7">
        <v>45973</v>
      </c>
      <c r="D76" s="8">
        <v>7837</v>
      </c>
      <c r="E76" s="9">
        <v>9715.3580000000002</v>
      </c>
      <c r="F76" s="8">
        <v>9141</v>
      </c>
      <c r="G76" s="8">
        <v>9310</v>
      </c>
      <c r="H76" s="10">
        <f t="shared" si="4"/>
        <v>92007120.645999998</v>
      </c>
      <c r="I76" s="14">
        <f>VLOOKUP(C76,'Draw Data'!A:B,2,0)</f>
        <v>60744</v>
      </c>
      <c r="J76" s="10">
        <f t="shared" si="5"/>
        <v>1514.6701015079677</v>
      </c>
    </row>
    <row r="77" spans="2:10">
      <c r="B77" s="12">
        <f t="shared" si="3"/>
        <v>45962</v>
      </c>
      <c r="C77" s="7">
        <v>45974</v>
      </c>
      <c r="D77" s="8">
        <v>7906</v>
      </c>
      <c r="E77" s="9">
        <v>9761.732</v>
      </c>
      <c r="F77" s="8">
        <v>9134</v>
      </c>
      <c r="G77" s="8">
        <v>8940</v>
      </c>
      <c r="H77" s="10">
        <f t="shared" si="4"/>
        <v>92719893.192000002</v>
      </c>
      <c r="I77" s="14">
        <f>VLOOKUP(C77,'Draw Data'!A:B,2,0)</f>
        <v>60391</v>
      </c>
      <c r="J77" s="10">
        <f t="shared" si="5"/>
        <v>1535.3263431968339</v>
      </c>
    </row>
    <row r="78" spans="2:10">
      <c r="B78" s="12">
        <f t="shared" si="3"/>
        <v>45962</v>
      </c>
      <c r="C78" s="7">
        <v>45975</v>
      </c>
      <c r="D78" s="8">
        <v>8318</v>
      </c>
      <c r="E78" s="9">
        <v>9142.6280000000006</v>
      </c>
      <c r="F78" s="8">
        <v>9113</v>
      </c>
      <c r="G78" s="8">
        <v>9830</v>
      </c>
      <c r="H78" s="10">
        <f t="shared" si="4"/>
        <v>92339359.704000011</v>
      </c>
      <c r="I78" s="14">
        <f>VLOOKUP(C78,'Draw Data'!A:B,2,0)</f>
        <v>59879</v>
      </c>
      <c r="J78" s="10">
        <f t="shared" si="5"/>
        <v>1542.0992285108305</v>
      </c>
    </row>
    <row r="79" spans="2:10">
      <c r="B79" s="12">
        <f t="shared" si="3"/>
        <v>45962</v>
      </c>
      <c r="C79" s="7">
        <v>45976</v>
      </c>
      <c r="D79" s="8">
        <v>8220</v>
      </c>
      <c r="E79" s="9">
        <v>9415.4349999999995</v>
      </c>
      <c r="F79" s="8">
        <v>9248</v>
      </c>
      <c r="G79" s="8">
        <v>8650</v>
      </c>
      <c r="H79" s="10">
        <f t="shared" si="4"/>
        <v>92787155.700000003</v>
      </c>
      <c r="I79" s="14">
        <f>VLOOKUP(C79,'Draw Data'!A:B,2,0)</f>
        <v>59829</v>
      </c>
      <c r="J79" s="10">
        <f t="shared" si="5"/>
        <v>1550.8725818582961</v>
      </c>
    </row>
    <row r="80" spans="2:10">
      <c r="B80" s="12">
        <f t="shared" si="3"/>
        <v>45962</v>
      </c>
      <c r="C80" s="7">
        <v>45977</v>
      </c>
      <c r="D80" s="8">
        <v>8355</v>
      </c>
      <c r="E80" s="9">
        <v>9338.0190000000002</v>
      </c>
      <c r="F80" s="8">
        <v>9026</v>
      </c>
      <c r="G80" s="8">
        <v>8620</v>
      </c>
      <c r="H80" s="10">
        <f t="shared" si="4"/>
        <v>93194708.745000005</v>
      </c>
      <c r="I80" s="14">
        <f>VLOOKUP(C80,'Draw Data'!A:B,2,0)</f>
        <v>60635</v>
      </c>
      <c r="J80" s="10">
        <f t="shared" si="5"/>
        <v>1536.978786921745</v>
      </c>
    </row>
    <row r="81" spans="2:10">
      <c r="B81" s="12">
        <f t="shared" si="3"/>
        <v>45962</v>
      </c>
      <c r="C81" s="7">
        <v>45978</v>
      </c>
      <c r="D81" s="8">
        <v>8335</v>
      </c>
      <c r="E81" s="9">
        <v>9245.5630000000001</v>
      </c>
      <c r="F81" s="8">
        <v>9172</v>
      </c>
      <c r="G81" s="8">
        <v>10540</v>
      </c>
      <c r="H81" s="10">
        <f t="shared" si="4"/>
        <v>94014087.605000004</v>
      </c>
      <c r="I81" s="14">
        <f>VLOOKUP(C81,'Draw Data'!A:B,2,0)</f>
        <v>61126</v>
      </c>
      <c r="J81" s="10">
        <f t="shared" si="5"/>
        <v>1538.0376207342213</v>
      </c>
    </row>
    <row r="82" spans="2:10">
      <c r="B82" s="12">
        <f t="shared" si="3"/>
        <v>45962</v>
      </c>
      <c r="C82" s="7">
        <v>45979</v>
      </c>
      <c r="D82" s="8">
        <v>8362</v>
      </c>
      <c r="E82" s="9">
        <v>9194.0640000000003</v>
      </c>
      <c r="F82" s="8">
        <v>9252</v>
      </c>
      <c r="G82" s="8">
        <v>10720</v>
      </c>
      <c r="H82" s="10">
        <f t="shared" si="4"/>
        <v>94056683.167999998</v>
      </c>
      <c r="I82" s="14">
        <f>VLOOKUP(C82,'Draw Data'!A:B,2,0)</f>
        <v>61237</v>
      </c>
      <c r="J82" s="10">
        <f t="shared" si="5"/>
        <v>1535.9453135849242</v>
      </c>
    </row>
    <row r="83" spans="2:10">
      <c r="B83" s="12">
        <f t="shared" si="3"/>
        <v>45962</v>
      </c>
      <c r="C83" s="7">
        <v>45980</v>
      </c>
      <c r="D83" s="8">
        <v>8259</v>
      </c>
      <c r="E83" s="9">
        <v>9266.7829999999994</v>
      </c>
      <c r="F83" s="8">
        <v>9094</v>
      </c>
      <c r="G83" s="8">
        <v>10330</v>
      </c>
      <c r="H83" s="10">
        <f t="shared" si="4"/>
        <v>93239000.796999991</v>
      </c>
      <c r="I83" s="14">
        <f>VLOOKUP(C83,'Draw Data'!A:B,2,0)</f>
        <v>60594</v>
      </c>
      <c r="J83" s="10">
        <f t="shared" si="5"/>
        <v>1538.7497243456446</v>
      </c>
    </row>
    <row r="84" spans="2:10">
      <c r="B84" s="12">
        <f t="shared" si="3"/>
        <v>45962</v>
      </c>
      <c r="C84" s="7">
        <v>45981</v>
      </c>
      <c r="D84" s="8">
        <v>8294</v>
      </c>
      <c r="E84" s="9">
        <v>9105.1579999999994</v>
      </c>
      <c r="F84" s="8">
        <v>9163</v>
      </c>
      <c r="G84" s="8">
        <v>9570</v>
      </c>
      <c r="H84" s="10">
        <f t="shared" si="4"/>
        <v>91628560.451999992</v>
      </c>
      <c r="I84" s="14">
        <f>VLOOKUP(C84,'Draw Data'!A:B,2,0)</f>
        <v>59704</v>
      </c>
      <c r="J84" s="10">
        <f t="shared" si="5"/>
        <v>1534.7139295859572</v>
      </c>
    </row>
    <row r="85" spans="2:10">
      <c r="B85" s="12">
        <f t="shared" si="3"/>
        <v>45962</v>
      </c>
      <c r="C85" s="7">
        <v>45982</v>
      </c>
      <c r="D85" s="8">
        <v>8128</v>
      </c>
      <c r="E85" s="9">
        <v>9290.7999999999993</v>
      </c>
      <c r="F85" s="8">
        <v>9144</v>
      </c>
      <c r="G85" s="8">
        <v>9480</v>
      </c>
      <c r="H85" s="10">
        <f t="shared" si="4"/>
        <v>91532262.399999991</v>
      </c>
      <c r="I85" s="14">
        <f>VLOOKUP(C85,'Draw Data'!A:B,2,0)</f>
        <v>58344</v>
      </c>
      <c r="J85" s="10">
        <f t="shared" si="5"/>
        <v>1568.8376251199779</v>
      </c>
    </row>
    <row r="86" spans="2:10">
      <c r="B86" s="12">
        <f t="shared" si="3"/>
        <v>45962</v>
      </c>
      <c r="C86" s="7">
        <v>45983</v>
      </c>
      <c r="D86" s="8">
        <v>8075</v>
      </c>
      <c r="E86" s="9">
        <v>9275.5550000000003</v>
      </c>
      <c r="F86" s="8">
        <v>9186</v>
      </c>
      <c r="G86" s="8">
        <v>6610</v>
      </c>
      <c r="H86" s="10">
        <f t="shared" si="4"/>
        <v>88484666.625</v>
      </c>
      <c r="I86" s="14">
        <f>VLOOKUP(C86,'Draw Data'!A:B,2,0)</f>
        <v>55234</v>
      </c>
      <c r="J86" s="10">
        <f t="shared" si="5"/>
        <v>1601.9963541478076</v>
      </c>
    </row>
    <row r="87" spans="2:10">
      <c r="B87" s="12">
        <f t="shared" si="3"/>
        <v>45962</v>
      </c>
      <c r="C87" s="7">
        <v>45984</v>
      </c>
      <c r="D87" s="8">
        <v>8028</v>
      </c>
      <c r="E87" s="9">
        <v>9227.6229999999996</v>
      </c>
      <c r="F87" s="8">
        <v>9059</v>
      </c>
      <c r="G87" s="8">
        <v>6640</v>
      </c>
      <c r="H87" s="10">
        <f t="shared" si="4"/>
        <v>87580497.443999991</v>
      </c>
      <c r="I87" s="14">
        <f>VLOOKUP(C87,'Draw Data'!A:B,2,0)</f>
        <v>56366</v>
      </c>
      <c r="J87" s="10">
        <f t="shared" si="5"/>
        <v>1553.7823766809777</v>
      </c>
    </row>
    <row r="88" spans="2:10">
      <c r="B88" s="12">
        <f t="shared" si="3"/>
        <v>45962</v>
      </c>
      <c r="C88" s="7">
        <v>45985</v>
      </c>
      <c r="D88" s="8">
        <v>7965</v>
      </c>
      <c r="E88" s="9">
        <v>9323.4930000000004</v>
      </c>
      <c r="F88" s="8">
        <v>9256</v>
      </c>
      <c r="G88" s="8">
        <v>6300</v>
      </c>
      <c r="H88" s="10">
        <f t="shared" si="4"/>
        <v>87639781.745000005</v>
      </c>
      <c r="I88" s="14">
        <f>VLOOKUP(C88,'Draw Data'!A:B,2,0)</f>
        <v>54231</v>
      </c>
      <c r="J88" s="10">
        <f t="shared" si="5"/>
        <v>1616.0458362375764</v>
      </c>
    </row>
    <row r="89" spans="2:10">
      <c r="B89" s="12">
        <f t="shared" si="3"/>
        <v>45962</v>
      </c>
      <c r="C89" s="7">
        <v>45986</v>
      </c>
      <c r="D89" s="8">
        <v>7869</v>
      </c>
      <c r="E89" s="9">
        <v>9268.0630000000001</v>
      </c>
      <c r="F89" s="8">
        <v>8188</v>
      </c>
      <c r="G89" s="8">
        <v>6890</v>
      </c>
      <c r="H89" s="10">
        <f t="shared" si="4"/>
        <v>85897467.746999994</v>
      </c>
      <c r="I89" s="14">
        <f>VLOOKUP(C89,'Draw Data'!A:B,2,0)</f>
        <v>52637</v>
      </c>
      <c r="J89" s="10">
        <f t="shared" si="5"/>
        <v>1631.8838031612743</v>
      </c>
    </row>
    <row r="90" spans="2:10">
      <c r="B90" s="12">
        <f t="shared" si="3"/>
        <v>45962</v>
      </c>
      <c r="C90" s="7">
        <v>45987</v>
      </c>
      <c r="D90" s="8">
        <v>8205</v>
      </c>
      <c r="E90" s="9">
        <v>9210.5650000000005</v>
      </c>
      <c r="F90" s="8">
        <v>8613</v>
      </c>
      <c r="G90" s="8">
        <v>9320</v>
      </c>
      <c r="H90" s="10">
        <f t="shared" si="4"/>
        <v>90995065.825000003</v>
      </c>
      <c r="I90" s="14">
        <f>VLOOKUP(C90,'Draw Data'!A:B,2,0)</f>
        <v>59576</v>
      </c>
      <c r="J90" s="10">
        <f t="shared" si="5"/>
        <v>1527.3779009164764</v>
      </c>
    </row>
    <row r="91" spans="2:10">
      <c r="B91" s="12">
        <f t="shared" si="3"/>
        <v>45962</v>
      </c>
      <c r="C91" s="7">
        <v>45988</v>
      </c>
      <c r="D91" s="8">
        <v>7920</v>
      </c>
      <c r="E91" s="9">
        <v>9275.9140000000007</v>
      </c>
      <c r="F91" s="8">
        <v>8840</v>
      </c>
      <c r="G91" s="8">
        <v>9250</v>
      </c>
      <c r="H91" s="10">
        <f t="shared" si="4"/>
        <v>89022638.88000001</v>
      </c>
      <c r="I91" s="14">
        <f>VLOOKUP(C91,'Draw Data'!A:B,2,0)</f>
        <v>57971</v>
      </c>
      <c r="J91" s="10">
        <f t="shared" si="5"/>
        <v>1535.6409045902262</v>
      </c>
    </row>
    <row r="92" spans="2:10">
      <c r="B92" s="12">
        <f t="shared" si="3"/>
        <v>45962</v>
      </c>
      <c r="C92" s="7">
        <v>45989</v>
      </c>
      <c r="D92" s="8">
        <v>7850</v>
      </c>
      <c r="E92" s="9">
        <v>9307.777</v>
      </c>
      <c r="F92" s="8">
        <v>9090</v>
      </c>
      <c r="G92" s="8">
        <v>10150</v>
      </c>
      <c r="H92" s="10">
        <f t="shared" si="4"/>
        <v>89612449.450000003</v>
      </c>
      <c r="I92" s="14">
        <f>VLOOKUP(C92,'Draw Data'!A:B,2,0)</f>
        <v>58826</v>
      </c>
      <c r="J92" s="10">
        <f t="shared" si="5"/>
        <v>1523.3476600482779</v>
      </c>
    </row>
    <row r="93" spans="2:10">
      <c r="B93" s="12">
        <f t="shared" si="3"/>
        <v>45962</v>
      </c>
      <c r="C93" s="7">
        <v>45990</v>
      </c>
      <c r="D93" s="8">
        <v>7901</v>
      </c>
      <c r="E93" s="9">
        <v>9394.4120000000003</v>
      </c>
      <c r="F93" s="8">
        <v>8210</v>
      </c>
      <c r="G93" s="8">
        <v>9400</v>
      </c>
      <c r="H93" s="10">
        <f t="shared" si="4"/>
        <v>89369849.211999997</v>
      </c>
      <c r="I93" s="14">
        <f>VLOOKUP(C93,'Draw Data'!A:B,2,0)</f>
        <v>55465</v>
      </c>
      <c r="J93" s="10">
        <f t="shared" si="5"/>
        <v>1611.2836782114846</v>
      </c>
    </row>
    <row r="94" spans="2:10">
      <c r="B94" s="12">
        <f t="shared" si="3"/>
        <v>45962</v>
      </c>
      <c r="C94" s="7">
        <v>45991</v>
      </c>
      <c r="D94" s="8">
        <v>7867</v>
      </c>
      <c r="E94" s="9">
        <v>9383.1010000000006</v>
      </c>
      <c r="F94" s="8">
        <v>7380</v>
      </c>
      <c r="G94" s="8">
        <v>9240</v>
      </c>
      <c r="H94" s="10">
        <f t="shared" si="4"/>
        <v>88110055.567000002</v>
      </c>
      <c r="I94" s="14">
        <f>VLOOKUP(C94,'Draw Data'!A:B,2,0)</f>
        <v>54891</v>
      </c>
      <c r="J94" s="10">
        <f t="shared" si="5"/>
        <v>1605.1821895574867</v>
      </c>
    </row>
    <row r="95" spans="2:10">
      <c r="B95" s="12">
        <f t="shared" si="3"/>
        <v>45992</v>
      </c>
      <c r="C95" s="7">
        <v>45992</v>
      </c>
      <c r="D95" s="8">
        <v>8096</v>
      </c>
      <c r="E95" s="9">
        <v>9337.0730000000003</v>
      </c>
      <c r="F95" s="8">
        <v>8600</v>
      </c>
      <c r="G95" s="8">
        <v>8780</v>
      </c>
      <c r="H95" s="10">
        <f t="shared" si="4"/>
        <v>90539743.008000001</v>
      </c>
      <c r="I95" s="14">
        <f>VLOOKUP(C95,'Draw Data'!A:B,2,0)</f>
        <v>57254</v>
      </c>
      <c r="J95" s="10">
        <f t="shared" si="5"/>
        <v>1581.3697384986201</v>
      </c>
    </row>
    <row r="96" spans="2:10">
      <c r="B96" s="12">
        <f t="shared" si="3"/>
        <v>45992</v>
      </c>
      <c r="C96" s="7">
        <v>45993</v>
      </c>
      <c r="D96" s="8">
        <v>8154</v>
      </c>
      <c r="E96" s="9">
        <v>9345.0190000000002</v>
      </c>
      <c r="F96" s="8">
        <v>9140</v>
      </c>
      <c r="G96" s="8">
        <v>8650</v>
      </c>
      <c r="H96" s="10">
        <f t="shared" si="4"/>
        <v>91498684.925999999</v>
      </c>
      <c r="I96" s="14">
        <f>VLOOKUP(C96,'Draw Data'!A:B,2,0)</f>
        <v>59454</v>
      </c>
      <c r="J96" s="10">
        <f t="shared" si="5"/>
        <v>1538.9828258149157</v>
      </c>
    </row>
    <row r="97" spans="2:10">
      <c r="B97" s="12">
        <f t="shared" si="3"/>
        <v>45992</v>
      </c>
      <c r="C97" s="7">
        <v>45994</v>
      </c>
      <c r="D97" s="8">
        <v>8034</v>
      </c>
      <c r="E97" s="9">
        <v>9399.9130000000005</v>
      </c>
      <c r="F97" s="8">
        <v>9240</v>
      </c>
      <c r="G97" s="8">
        <v>9450</v>
      </c>
      <c r="H97" s="10">
        <f t="shared" si="4"/>
        <v>91592301.042000011</v>
      </c>
      <c r="I97" s="14">
        <f>VLOOKUP(C97,'Draw Data'!A:B,2,0)</f>
        <v>58720</v>
      </c>
      <c r="J97" s="10">
        <f t="shared" si="5"/>
        <v>1559.8143910422345</v>
      </c>
    </row>
    <row r="98" spans="2:10">
      <c r="B98" s="12">
        <f t="shared" si="3"/>
        <v>45992</v>
      </c>
      <c r="C98" s="7">
        <v>45995</v>
      </c>
      <c r="D98" s="8">
        <v>8085</v>
      </c>
      <c r="E98" s="9">
        <v>9450.4709999999995</v>
      </c>
      <c r="F98" s="8">
        <v>9140</v>
      </c>
      <c r="G98" s="8">
        <v>7200</v>
      </c>
      <c r="H98" s="10">
        <f t="shared" si="4"/>
        <v>90459458.034999996</v>
      </c>
      <c r="I98" s="14">
        <f>VLOOKUP(C98,'Draw Data'!A:B,2,0)</f>
        <v>55570</v>
      </c>
      <c r="J98" s="10">
        <f t="shared" si="5"/>
        <v>1627.8470044088535</v>
      </c>
    </row>
    <row r="99" spans="2:10">
      <c r="B99" s="12">
        <f t="shared" si="3"/>
        <v>45992</v>
      </c>
      <c r="C99" s="7">
        <v>45996</v>
      </c>
      <c r="D99" s="8">
        <v>7964</v>
      </c>
      <c r="E99" s="9">
        <v>9466.9860000000008</v>
      </c>
      <c r="F99" s="8">
        <v>9150</v>
      </c>
      <c r="G99" s="8">
        <v>7780</v>
      </c>
      <c r="H99" s="10">
        <f t="shared" si="4"/>
        <v>89954876.504000008</v>
      </c>
      <c r="I99" s="14">
        <f>VLOOKUP(C99,'Draw Data'!A:B,2,0)</f>
        <v>58537</v>
      </c>
      <c r="J99" s="10">
        <f t="shared" si="5"/>
        <v>1536.718255189026</v>
      </c>
    </row>
    <row r="100" spans="2:10">
      <c r="B100" s="12">
        <f t="shared" si="3"/>
        <v>45992</v>
      </c>
      <c r="C100" s="7">
        <v>45997</v>
      </c>
      <c r="D100" s="8">
        <v>8012</v>
      </c>
      <c r="E100" s="9">
        <v>9564.7279999999992</v>
      </c>
      <c r="F100" s="8">
        <v>9210</v>
      </c>
      <c r="G100" s="8">
        <v>10040</v>
      </c>
      <c r="H100" s="10">
        <f t="shared" si="4"/>
        <v>93187600.735999987</v>
      </c>
      <c r="I100" s="14">
        <f>VLOOKUP(C100,'Draw Data'!A:B,2,0)</f>
        <v>61912</v>
      </c>
      <c r="J100" s="10">
        <f t="shared" si="5"/>
        <v>1505.162177542318</v>
      </c>
    </row>
    <row r="101" spans="2:10">
      <c r="B101" s="12">
        <f t="shared" si="3"/>
        <v>45992</v>
      </c>
      <c r="C101" s="7">
        <v>45998</v>
      </c>
      <c r="D101" s="8">
        <v>7872</v>
      </c>
      <c r="E101" s="9">
        <v>9596.2150000000001</v>
      </c>
      <c r="F101" s="8">
        <v>9180</v>
      </c>
      <c r="G101" s="8">
        <v>8930</v>
      </c>
      <c r="H101" s="10">
        <f t="shared" si="4"/>
        <v>91116004.480000004</v>
      </c>
      <c r="I101" s="14">
        <f>VLOOKUP(C101,'Draw Data'!A:B,2,0)</f>
        <v>60057</v>
      </c>
      <c r="J101" s="10">
        <f t="shared" si="5"/>
        <v>1517.1587738315268</v>
      </c>
    </row>
    <row r="102" spans="2:10">
      <c r="B102" s="12">
        <f t="shared" si="3"/>
        <v>45992</v>
      </c>
      <c r="C102" s="7">
        <v>45999</v>
      </c>
      <c r="D102" s="8">
        <v>7796</v>
      </c>
      <c r="E102" s="9">
        <v>9696.0300000000007</v>
      </c>
      <c r="F102" s="8">
        <v>8220</v>
      </c>
      <c r="G102" s="8">
        <v>7120</v>
      </c>
      <c r="H102" s="10">
        <f t="shared" si="4"/>
        <v>88782649.88000001</v>
      </c>
      <c r="I102" s="14">
        <f>VLOOKUP(C102,'Draw Data'!A:B,2,0)</f>
        <v>55441</v>
      </c>
      <c r="J102" s="10">
        <f t="shared" si="5"/>
        <v>1601.389763532404</v>
      </c>
    </row>
    <row r="103" spans="2:10">
      <c r="B103" s="12">
        <f t="shared" si="3"/>
        <v>45992</v>
      </c>
      <c r="C103" s="7">
        <v>46000</v>
      </c>
      <c r="D103" s="8">
        <v>7633</v>
      </c>
      <c r="E103" s="9">
        <v>9732.5390000000007</v>
      </c>
      <c r="F103" s="8">
        <v>6630</v>
      </c>
      <c r="G103" s="8">
        <v>8430</v>
      </c>
      <c r="H103" s="10">
        <f t="shared" si="4"/>
        <v>87240070.187000006</v>
      </c>
      <c r="I103" s="14">
        <f>VLOOKUP(C103,'Draw Data'!A:B,2,0)</f>
        <v>52322</v>
      </c>
      <c r="J103" s="10">
        <f t="shared" si="5"/>
        <v>1667.3687968158711</v>
      </c>
    </row>
    <row r="104" spans="2:10">
      <c r="B104" s="12">
        <f t="shared" si="3"/>
        <v>45992</v>
      </c>
      <c r="C104" s="7">
        <v>46001</v>
      </c>
      <c r="D104" s="8">
        <v>7659</v>
      </c>
      <c r="E104" s="9">
        <v>9792.6630000000005</v>
      </c>
      <c r="F104" s="8">
        <v>7360</v>
      </c>
      <c r="G104" s="8">
        <v>6190</v>
      </c>
      <c r="H104" s="10">
        <f t="shared" si="4"/>
        <v>86655005.917000011</v>
      </c>
      <c r="I104" s="14">
        <f>VLOOKUP(C104,'Draw Data'!A:B,2,0)</f>
        <v>52425</v>
      </c>
      <c r="J104" s="10">
        <f t="shared" si="5"/>
        <v>1652.9328739532668</v>
      </c>
    </row>
    <row r="105" spans="2:10">
      <c r="B105" s="12">
        <f t="shared" si="3"/>
        <v>45992</v>
      </c>
      <c r="C105" s="7">
        <v>46002</v>
      </c>
      <c r="D105" s="8">
        <v>7690</v>
      </c>
      <c r="E105" s="9">
        <v>9642.6149999999998</v>
      </c>
      <c r="F105" s="8">
        <v>8720</v>
      </c>
      <c r="G105" s="8">
        <v>8820</v>
      </c>
      <c r="H105" s="10">
        <f t="shared" si="4"/>
        <v>89236109.349999994</v>
      </c>
      <c r="I105" s="14">
        <f>VLOOKUP(C105,'Draw Data'!A:B,2,0)</f>
        <v>57136</v>
      </c>
      <c r="J105" s="10">
        <f t="shared" si="5"/>
        <v>1561.8193319448333</v>
      </c>
    </row>
    <row r="106" spans="2:10">
      <c r="B106" s="12">
        <f t="shared" si="3"/>
        <v>45992</v>
      </c>
      <c r="C106" s="7">
        <v>46003</v>
      </c>
      <c r="D106" s="8">
        <v>7893</v>
      </c>
      <c r="E106" s="9">
        <v>9452.4</v>
      </c>
      <c r="F106" s="8">
        <v>8833</v>
      </c>
      <c r="G106" s="8">
        <v>7630</v>
      </c>
      <c r="H106" s="10">
        <f t="shared" si="4"/>
        <v>88765973.200000003</v>
      </c>
      <c r="I106" s="14">
        <f>VLOOKUP(C106,'Draw Data'!A:B,2,0)</f>
        <v>56271</v>
      </c>
      <c r="J106" s="10">
        <f t="shared" si="5"/>
        <v>1577.4728225906774</v>
      </c>
    </row>
    <row r="107" spans="2:10">
      <c r="B107" s="12">
        <f t="shared" si="3"/>
        <v>45992</v>
      </c>
      <c r="C107" s="7">
        <v>46004</v>
      </c>
      <c r="D107" s="8">
        <v>8127</v>
      </c>
      <c r="E107" s="9">
        <v>9294.6350000000002</v>
      </c>
      <c r="F107" s="8">
        <v>9407</v>
      </c>
      <c r="G107" s="8">
        <v>7430</v>
      </c>
      <c r="H107" s="10">
        <f t="shared" si="4"/>
        <v>90017318.644999996</v>
      </c>
      <c r="I107" s="14">
        <f>VLOOKUP(C107,'Draw Data'!A:B,2,0)</f>
        <v>56243</v>
      </c>
      <c r="J107" s="10">
        <f t="shared" si="5"/>
        <v>1600.5070612342868</v>
      </c>
    </row>
    <row r="108" spans="2:10">
      <c r="B108" s="12">
        <f t="shared" si="3"/>
        <v>45992</v>
      </c>
      <c r="C108" s="7">
        <v>46005</v>
      </c>
      <c r="D108" s="8">
        <v>8019</v>
      </c>
      <c r="E108" s="9">
        <v>9336.84</v>
      </c>
      <c r="F108" s="8">
        <v>9190</v>
      </c>
      <c r="G108" s="8">
        <v>7360</v>
      </c>
      <c r="H108" s="10">
        <f t="shared" si="4"/>
        <v>89105119.960000008</v>
      </c>
      <c r="I108" s="14">
        <f>VLOOKUP(C108,'Draw Data'!A:B,2,0)</f>
        <v>56429</v>
      </c>
      <c r="J108" s="10">
        <f t="shared" si="5"/>
        <v>1579.066082333552</v>
      </c>
    </row>
    <row r="109" spans="2:10">
      <c r="B109" s="12">
        <f t="shared" si="3"/>
        <v>45992</v>
      </c>
      <c r="C109" s="7">
        <v>46006</v>
      </c>
      <c r="D109" s="8">
        <v>8073</v>
      </c>
      <c r="E109" s="9">
        <v>9301.7369999999992</v>
      </c>
      <c r="F109" s="8">
        <v>8970</v>
      </c>
      <c r="G109" s="8">
        <v>9250</v>
      </c>
      <c r="H109" s="10">
        <f t="shared" si="4"/>
        <v>90762122.800999999</v>
      </c>
      <c r="I109" s="14">
        <f>VLOOKUP(C109,'Draw Data'!A:B,2,0)</f>
        <v>58496</v>
      </c>
      <c r="J109" s="10">
        <f t="shared" si="5"/>
        <v>1551.5953706407277</v>
      </c>
    </row>
    <row r="110" spans="2:10">
      <c r="B110" s="12">
        <f t="shared" si="3"/>
        <v>45992</v>
      </c>
      <c r="C110" s="7">
        <v>46007</v>
      </c>
      <c r="D110" s="8">
        <v>8062</v>
      </c>
      <c r="E110" s="9">
        <v>9386.1119999999992</v>
      </c>
      <c r="F110" s="8">
        <v>9180</v>
      </c>
      <c r="G110" s="8">
        <v>10640</v>
      </c>
      <c r="H110" s="10">
        <f t="shared" si="4"/>
        <v>92716034.943999991</v>
      </c>
      <c r="I110" s="14">
        <f>VLOOKUP(C110,'Draw Data'!A:B,2,0)</f>
        <v>60699</v>
      </c>
      <c r="J110" s="10">
        <f t="shared" si="5"/>
        <v>1527.4721979604276</v>
      </c>
    </row>
    <row r="111" spans="2:10">
      <c r="B111" s="12">
        <f t="shared" si="3"/>
        <v>45992</v>
      </c>
      <c r="C111" s="7">
        <v>46008</v>
      </c>
      <c r="D111" s="8">
        <v>8011</v>
      </c>
      <c r="E111" s="9">
        <v>9341.2019999999993</v>
      </c>
      <c r="F111" s="8">
        <v>8896</v>
      </c>
      <c r="G111" s="8">
        <v>10790</v>
      </c>
      <c r="H111" s="10">
        <f t="shared" si="4"/>
        <v>91762329.221999988</v>
      </c>
      <c r="I111" s="14">
        <f>VLOOKUP(C111,'Draw Data'!A:B,2,0)</f>
        <v>60889</v>
      </c>
      <c r="J111" s="10">
        <f t="shared" si="5"/>
        <v>1507.0428028379508</v>
      </c>
    </row>
    <row r="112" spans="2:10">
      <c r="B112" s="12">
        <f t="shared" si="3"/>
        <v>45992</v>
      </c>
      <c r="C112" s="7">
        <v>46009</v>
      </c>
      <c r="D112" s="8">
        <v>7982</v>
      </c>
      <c r="E112" s="9">
        <v>9359.8919999999998</v>
      </c>
      <c r="F112" s="8">
        <v>9454</v>
      </c>
      <c r="G112" s="8">
        <v>10460</v>
      </c>
      <c r="H112" s="10">
        <f t="shared" si="4"/>
        <v>91836697.944000006</v>
      </c>
      <c r="I112" s="14">
        <f>VLOOKUP(C112,'Draw Data'!A:B,2,0)</f>
        <v>59233</v>
      </c>
      <c r="J112" s="10">
        <f t="shared" si="5"/>
        <v>1550.4313126804316</v>
      </c>
    </row>
    <row r="113" spans="2:10">
      <c r="B113" s="12">
        <f t="shared" si="3"/>
        <v>45992</v>
      </c>
      <c r="C113" s="7">
        <v>46010</v>
      </c>
      <c r="D113" s="8">
        <v>7982</v>
      </c>
      <c r="E113" s="9">
        <v>9441.3680000000004</v>
      </c>
      <c r="F113" s="8">
        <v>9150</v>
      </c>
      <c r="G113" s="8">
        <v>9950</v>
      </c>
      <c r="H113" s="10">
        <f t="shared" si="4"/>
        <v>91786999.376000002</v>
      </c>
      <c r="I113" s="14">
        <f>VLOOKUP(C113,'Draw Data'!A:B,2,0)</f>
        <v>60732</v>
      </c>
      <c r="J113" s="10">
        <f t="shared" si="5"/>
        <v>1511.344914970691</v>
      </c>
    </row>
    <row r="114" spans="2:10">
      <c r="B114" s="12">
        <f t="shared" si="3"/>
        <v>45992</v>
      </c>
      <c r="C114" s="7">
        <v>46011</v>
      </c>
      <c r="D114" s="8">
        <v>8046</v>
      </c>
      <c r="E114" s="9">
        <v>9411.8279999999995</v>
      </c>
      <c r="F114" s="8">
        <v>9060</v>
      </c>
      <c r="G114" s="8">
        <v>10090</v>
      </c>
      <c r="H114" s="10">
        <f t="shared" si="4"/>
        <v>92196568.088</v>
      </c>
      <c r="I114" s="14">
        <f>VLOOKUP(C114,'Draw Data'!A:B,2,0)</f>
        <v>60234</v>
      </c>
      <c r="J114" s="10">
        <f t="shared" si="5"/>
        <v>1530.6399722415911</v>
      </c>
    </row>
    <row r="115" spans="2:10">
      <c r="B115" s="12">
        <f t="shared" si="3"/>
        <v>45992</v>
      </c>
      <c r="C115" s="7">
        <v>46012</v>
      </c>
      <c r="D115" s="8">
        <v>8126</v>
      </c>
      <c r="E115" s="9">
        <v>9421.6059999999998</v>
      </c>
      <c r="F115" s="8">
        <v>9190</v>
      </c>
      <c r="G115" s="8">
        <v>9330</v>
      </c>
      <c r="H115" s="10">
        <f t="shared" si="4"/>
        <v>92487170.355999991</v>
      </c>
      <c r="I115" s="14">
        <f>VLOOKUP(C115,'Draw Data'!A:B,2,0)</f>
        <v>60238</v>
      </c>
      <c r="J115" s="10">
        <f t="shared" si="5"/>
        <v>1535.3625677479331</v>
      </c>
    </row>
    <row r="116" spans="2:10">
      <c r="B116" s="12">
        <f t="shared" si="3"/>
        <v>45992</v>
      </c>
      <c r="C116" s="7">
        <v>46013</v>
      </c>
      <c r="D116" s="8">
        <v>8080</v>
      </c>
      <c r="E116" s="9">
        <v>9439.4740000000002</v>
      </c>
      <c r="F116" s="8">
        <v>9190</v>
      </c>
      <c r="G116" s="8">
        <v>10000</v>
      </c>
      <c r="H116" s="10">
        <f t="shared" si="4"/>
        <v>92774349.920000002</v>
      </c>
      <c r="I116" s="14">
        <f>VLOOKUP(C116,'Draw Data'!A:B,2,0)</f>
        <v>61110</v>
      </c>
      <c r="J116" s="10">
        <f t="shared" si="5"/>
        <v>1518.1533287514319</v>
      </c>
    </row>
    <row r="117" spans="2:10">
      <c r="B117" s="12">
        <f t="shared" si="3"/>
        <v>45992</v>
      </c>
      <c r="C117" s="7">
        <v>46014</v>
      </c>
      <c r="D117" s="8">
        <v>8053</v>
      </c>
      <c r="E117" s="9">
        <v>9510.8680000000004</v>
      </c>
      <c r="F117" s="8">
        <v>9200</v>
      </c>
      <c r="G117" s="8">
        <v>9940</v>
      </c>
      <c r="H117" s="10">
        <f t="shared" si="4"/>
        <v>93051420.004000008</v>
      </c>
      <c r="I117" s="14">
        <f>VLOOKUP(C117,'Draw Data'!A:B,2,0)</f>
        <v>61800</v>
      </c>
      <c r="J117" s="10">
        <f t="shared" si="5"/>
        <v>1505.6864078317153</v>
      </c>
    </row>
    <row r="118" spans="2:10">
      <c r="B118" s="12">
        <f t="shared" si="3"/>
        <v>45992</v>
      </c>
      <c r="C118" s="7">
        <v>46015</v>
      </c>
      <c r="D118" s="8">
        <v>8226</v>
      </c>
      <c r="E118" s="9">
        <v>9488.76</v>
      </c>
      <c r="F118" s="8">
        <v>9110</v>
      </c>
      <c r="G118" s="8">
        <v>10250</v>
      </c>
      <c r="H118" s="10">
        <f t="shared" si="4"/>
        <v>94704139.760000005</v>
      </c>
      <c r="I118" s="14">
        <f>VLOOKUP(C118,'Draw Data'!A:B,2,0)</f>
        <v>62405</v>
      </c>
      <c r="J118" s="10">
        <f t="shared" si="5"/>
        <v>1517.5729470395001</v>
      </c>
    </row>
    <row r="119" spans="2:10">
      <c r="B119" s="12">
        <f t="shared" si="3"/>
        <v>45992</v>
      </c>
      <c r="C119" s="7">
        <v>46016</v>
      </c>
      <c r="D119" s="8">
        <v>8135</v>
      </c>
      <c r="E119" s="9">
        <v>9498.1939999999995</v>
      </c>
      <c r="F119" s="8">
        <v>9190</v>
      </c>
      <c r="G119" s="8">
        <v>8870</v>
      </c>
      <c r="H119" s="10">
        <f t="shared" si="4"/>
        <v>92799408.189999998</v>
      </c>
      <c r="I119" s="14">
        <f>VLOOKUP(C119,'Draw Data'!A:B,2,0)</f>
        <v>61089</v>
      </c>
      <c r="J119" s="10">
        <f t="shared" si="5"/>
        <v>1519.0854031003944</v>
      </c>
    </row>
    <row r="120" spans="2:10">
      <c r="B120" s="12">
        <f t="shared" si="3"/>
        <v>45992</v>
      </c>
      <c r="C120" s="7">
        <v>46017</v>
      </c>
      <c r="D120" s="8">
        <v>7998</v>
      </c>
      <c r="E120" s="9">
        <v>9534.1219999999994</v>
      </c>
      <c r="F120" s="8">
        <v>9190</v>
      </c>
      <c r="G120" s="8">
        <v>9170</v>
      </c>
      <c r="H120" s="10">
        <f t="shared" si="4"/>
        <v>92043507.755999997</v>
      </c>
      <c r="I120" s="14">
        <f>VLOOKUP(C120,'Draw Data'!A:B,2,0)</f>
        <v>60791</v>
      </c>
      <c r="J120" s="10">
        <f t="shared" si="5"/>
        <v>1514.0976091197711</v>
      </c>
    </row>
    <row r="121" spans="2:10">
      <c r="B121" s="12">
        <f t="shared" si="3"/>
        <v>45992</v>
      </c>
      <c r="C121" s="7">
        <v>46018</v>
      </c>
      <c r="D121" s="8">
        <v>7982</v>
      </c>
      <c r="E121" s="9">
        <v>9492.2690000000002</v>
      </c>
      <c r="F121" s="8">
        <v>9060</v>
      </c>
      <c r="G121" s="8">
        <v>10010</v>
      </c>
      <c r="H121" s="10">
        <f t="shared" si="4"/>
        <v>92167491.158000007</v>
      </c>
      <c r="I121" s="14">
        <f>VLOOKUP(C121,'Draw Data'!A:B,2,0)</f>
        <v>60354</v>
      </c>
      <c r="J121" s="10">
        <f t="shared" si="5"/>
        <v>1527.1148748715912</v>
      </c>
    </row>
    <row r="122" spans="2:10">
      <c r="B122" s="12">
        <f t="shared" si="3"/>
        <v>45992</v>
      </c>
      <c r="C122" s="7">
        <v>46019</v>
      </c>
      <c r="D122" s="8">
        <v>7978</v>
      </c>
      <c r="E122" s="9">
        <v>9526.6350000000002</v>
      </c>
      <c r="F122" s="8">
        <v>9150</v>
      </c>
      <c r="G122" s="8">
        <v>9250</v>
      </c>
      <c r="H122" s="10">
        <f t="shared" si="4"/>
        <v>91827494.030000001</v>
      </c>
      <c r="I122" s="14">
        <f>VLOOKUP(C122,'Draw Data'!A:B,2,0)</f>
        <v>59726</v>
      </c>
      <c r="J122" s="10">
        <f t="shared" si="5"/>
        <v>1537.4793897130228</v>
      </c>
    </row>
    <row r="123" spans="2:10">
      <c r="B123" s="12">
        <f t="shared" si="3"/>
        <v>45992</v>
      </c>
      <c r="C123" s="7">
        <v>46020</v>
      </c>
      <c r="D123" s="8">
        <v>7893</v>
      </c>
      <c r="E123" s="9">
        <v>9440.6419999999998</v>
      </c>
      <c r="F123" s="8">
        <v>9180</v>
      </c>
      <c r="G123" s="8">
        <v>11000</v>
      </c>
      <c r="H123" s="10">
        <f t="shared" si="4"/>
        <v>91869787.305999994</v>
      </c>
      <c r="I123" s="14">
        <f>VLOOKUP(C123,'Draw Data'!A:B,2,0)</f>
        <v>60969</v>
      </c>
      <c r="J123" s="10">
        <f t="shared" si="5"/>
        <v>1506.8278519575522</v>
      </c>
    </row>
    <row r="124" spans="2:10">
      <c r="B124" s="12">
        <f t="shared" si="3"/>
        <v>45992</v>
      </c>
      <c r="C124" s="7">
        <v>46021</v>
      </c>
      <c r="D124" s="8">
        <v>8071</v>
      </c>
      <c r="E124" s="9">
        <v>9251.6880000000001</v>
      </c>
      <c r="F124" s="8">
        <v>9170</v>
      </c>
      <c r="G124" s="8">
        <v>10370</v>
      </c>
      <c r="H124" s="10">
        <f t="shared" si="4"/>
        <v>91474773.848000005</v>
      </c>
      <c r="I124" s="14">
        <f>VLOOKUP(C124,'Draw Data'!A:B,2,0)</f>
        <v>61095</v>
      </c>
      <c r="J124" s="10">
        <f t="shared" si="5"/>
        <v>1497.2546664702513</v>
      </c>
    </row>
    <row r="125" spans="2:10">
      <c r="B125" s="12">
        <f t="shared" si="3"/>
        <v>45992</v>
      </c>
      <c r="C125" s="7">
        <v>46022</v>
      </c>
      <c r="D125" s="8">
        <v>8024</v>
      </c>
      <c r="E125" s="9">
        <v>9370.43</v>
      </c>
      <c r="F125" s="8">
        <v>9120</v>
      </c>
      <c r="G125" s="8">
        <v>10690</v>
      </c>
      <c r="H125" s="10">
        <f t="shared" si="4"/>
        <v>92224930.320000008</v>
      </c>
      <c r="I125" s="14">
        <f>VLOOKUP(C125,'Draw Data'!A:B,2,0)</f>
        <v>61737</v>
      </c>
      <c r="J125" s="10">
        <f t="shared" si="5"/>
        <v>1493.8356304971089</v>
      </c>
    </row>
    <row r="126" spans="2:10">
      <c r="B126" s="12">
        <f t="shared" si="3"/>
        <v>46023</v>
      </c>
      <c r="C126" s="7">
        <v>46023</v>
      </c>
      <c r="D126" s="8">
        <v>7957</v>
      </c>
      <c r="E126" s="9">
        <v>9287.2610000000004</v>
      </c>
      <c r="F126" s="8">
        <v>8810</v>
      </c>
      <c r="G126" s="8">
        <v>10740</v>
      </c>
      <c r="H126" s="10">
        <f t="shared" si="4"/>
        <v>90711735.77700001</v>
      </c>
      <c r="I126" s="14">
        <f>VLOOKUP(C126,'Draw Data'!A:B,2,0)</f>
        <v>59521</v>
      </c>
      <c r="J126" s="10">
        <f t="shared" si="5"/>
        <v>1524.0290952268949</v>
      </c>
    </row>
    <row r="127" spans="2:10">
      <c r="B127" s="12">
        <f t="shared" si="3"/>
        <v>46023</v>
      </c>
      <c r="C127" s="7">
        <v>46024</v>
      </c>
      <c r="D127" s="8">
        <v>8130</v>
      </c>
      <c r="E127" s="9">
        <v>9243.625</v>
      </c>
      <c r="F127" s="8">
        <v>9120</v>
      </c>
      <c r="G127" s="8">
        <v>10300</v>
      </c>
      <c r="H127" s="10">
        <f t="shared" si="4"/>
        <v>91851871.25</v>
      </c>
      <c r="I127" s="14">
        <f>VLOOKUP(C127,'Draw Data'!A:B,2,0)</f>
        <v>60546</v>
      </c>
      <c r="J127" s="10">
        <f t="shared" si="5"/>
        <v>1517.0592813728406</v>
      </c>
    </row>
    <row r="128" spans="2:10">
      <c r="B128" s="12">
        <f t="shared" si="3"/>
        <v>46023</v>
      </c>
      <c r="C128" s="7">
        <v>46025</v>
      </c>
      <c r="D128" s="8">
        <v>7903</v>
      </c>
      <c r="E128" s="9">
        <v>9379.9110000000001</v>
      </c>
      <c r="F128" s="8">
        <v>9180</v>
      </c>
      <c r="G128" s="8">
        <v>8970</v>
      </c>
      <c r="H128" s="10">
        <f t="shared" si="4"/>
        <v>89738436.633000001</v>
      </c>
      <c r="I128" s="14">
        <f>VLOOKUP(C128,'Draw Data'!A:B,2,0)</f>
        <v>57178</v>
      </c>
      <c r="J128" s="10">
        <f t="shared" si="5"/>
        <v>1569.4574247612718</v>
      </c>
    </row>
    <row r="129" spans="2:10">
      <c r="B129" s="12">
        <f t="shared" si="3"/>
        <v>46023</v>
      </c>
      <c r="C129" s="7">
        <v>46026</v>
      </c>
      <c r="D129" s="8">
        <v>7870</v>
      </c>
      <c r="E129" s="9">
        <v>9366.64</v>
      </c>
      <c r="F129" s="8">
        <v>7480</v>
      </c>
      <c r="G129" s="8">
        <v>7820</v>
      </c>
      <c r="H129" s="10">
        <f t="shared" si="4"/>
        <v>86873456.799999997</v>
      </c>
      <c r="I129" s="14">
        <f>VLOOKUP(C129,'Draw Data'!A:B,2,0)</f>
        <v>52858</v>
      </c>
      <c r="J129" s="10">
        <f t="shared" si="5"/>
        <v>1643.5252336448598</v>
      </c>
    </row>
    <row r="130" spans="2:10">
      <c r="B130" s="12">
        <f t="shared" si="3"/>
        <v>46023</v>
      </c>
      <c r="C130" s="7">
        <v>46027</v>
      </c>
      <c r="D130" s="8">
        <v>7868</v>
      </c>
      <c r="E130" s="9">
        <v>9333.08</v>
      </c>
      <c r="F130" s="8">
        <v>7440</v>
      </c>
      <c r="G130" s="8">
        <v>8290</v>
      </c>
      <c r="H130" s="10">
        <f t="shared" si="4"/>
        <v>86960473.439999998</v>
      </c>
      <c r="I130" s="14">
        <f>VLOOKUP(C130,'Draw Data'!A:B,2,0)</f>
        <v>51573</v>
      </c>
      <c r="J130" s="10">
        <f t="shared" si="5"/>
        <v>1686.1627875050899</v>
      </c>
    </row>
    <row r="131" spans="2:10">
      <c r="B131" s="12">
        <f t="shared" si="3"/>
        <v>46023</v>
      </c>
      <c r="C131" s="7">
        <v>46028</v>
      </c>
      <c r="D131" s="8">
        <v>7898</v>
      </c>
      <c r="E131" s="9">
        <v>9285.7639999999992</v>
      </c>
      <c r="F131" s="8">
        <v>6880</v>
      </c>
      <c r="G131" s="8">
        <v>7920</v>
      </c>
      <c r="H131" s="10">
        <f t="shared" si="4"/>
        <v>86066964.071999997</v>
      </c>
      <c r="I131" s="14">
        <f>VLOOKUP(C131,'Draw Data'!A:B,2,0)</f>
        <v>48951</v>
      </c>
      <c r="J131" s="10">
        <f t="shared" si="5"/>
        <v>1758.2268814120241</v>
      </c>
    </row>
    <row r="132" spans="2:10">
      <c r="B132" s="12">
        <f t="shared" si="3"/>
        <v>46023</v>
      </c>
      <c r="C132" s="7">
        <v>46029</v>
      </c>
      <c r="D132" s="8">
        <v>7962</v>
      </c>
      <c r="E132" s="9">
        <v>9358.8040000000001</v>
      </c>
      <c r="F132" s="8">
        <v>8860</v>
      </c>
      <c r="G132" s="8">
        <v>8537</v>
      </c>
      <c r="H132" s="10">
        <f t="shared" si="4"/>
        <v>89476217.447999999</v>
      </c>
      <c r="I132" s="14">
        <f>VLOOKUP(C132,'Draw Data'!A:B,2,0)</f>
        <v>59010</v>
      </c>
      <c r="J132" s="10">
        <f t="shared" si="5"/>
        <v>1516.2890602948653</v>
      </c>
    </row>
    <row r="133" spans="2:10">
      <c r="B133" s="12">
        <f t="shared" ref="B133:B196" si="6">DATE(YEAR(C133),MONTH(C133),1)</f>
        <v>46023</v>
      </c>
      <c r="C133" s="7">
        <v>46030</v>
      </c>
      <c r="D133" s="8">
        <v>7665</v>
      </c>
      <c r="E133" s="9">
        <v>9798.6290000000008</v>
      </c>
      <c r="F133" s="8">
        <v>9160</v>
      </c>
      <c r="G133" s="8">
        <v>10364</v>
      </c>
      <c r="H133" s="10">
        <f t="shared" ref="H133:H196" si="7">((D133 *(E133))+ ((F133+G133)*860))</f>
        <v>91897131.285000011</v>
      </c>
      <c r="I133" s="14">
        <f>VLOOKUP(C133,'Draw Data'!A:B,2,0)</f>
        <v>60659</v>
      </c>
      <c r="J133" s="10">
        <f t="shared" ref="J133:J196" si="8">H133/I133</f>
        <v>1514.9793317562112</v>
      </c>
    </row>
    <row r="134" spans="2:10">
      <c r="B134" s="12">
        <f t="shared" si="6"/>
        <v>46023</v>
      </c>
      <c r="C134" s="7">
        <v>46031</v>
      </c>
      <c r="D134" s="8">
        <v>7289</v>
      </c>
      <c r="E134" s="9">
        <v>9998.3760000000002</v>
      </c>
      <c r="F134" s="8">
        <v>9190</v>
      </c>
      <c r="G134" s="8">
        <v>10860</v>
      </c>
      <c r="H134" s="10">
        <f t="shared" si="7"/>
        <v>90121162.664000005</v>
      </c>
      <c r="I134" s="14">
        <f>VLOOKUP(C134,'Draw Data'!A:B,2,0)</f>
        <v>60929</v>
      </c>
      <c r="J134" s="10">
        <f t="shared" si="8"/>
        <v>1479.1177052635035</v>
      </c>
    </row>
    <row r="135" spans="2:10">
      <c r="B135" s="12">
        <f t="shared" si="6"/>
        <v>46023</v>
      </c>
      <c r="C135" s="7">
        <v>46032</v>
      </c>
      <c r="D135" s="8">
        <v>7637</v>
      </c>
      <c r="E135" s="9">
        <v>9997.4120000000003</v>
      </c>
      <c r="F135" s="8">
        <v>9290</v>
      </c>
      <c r="G135" s="8">
        <v>10000</v>
      </c>
      <c r="H135" s="10">
        <f t="shared" si="7"/>
        <v>92939635.444000006</v>
      </c>
      <c r="I135" s="14">
        <f>VLOOKUP(C135,'Draw Data'!A:B,2,0)</f>
        <v>60801</v>
      </c>
      <c r="J135" s="10">
        <f t="shared" si="8"/>
        <v>1528.5872838275686</v>
      </c>
    </row>
    <row r="136" spans="2:10">
      <c r="B136" s="12">
        <f t="shared" si="6"/>
        <v>46023</v>
      </c>
      <c r="C136" s="7">
        <v>46033</v>
      </c>
      <c r="D136" s="8">
        <v>7424</v>
      </c>
      <c r="E136" s="9">
        <v>10069.776</v>
      </c>
      <c r="F136" s="8">
        <v>8990</v>
      </c>
      <c r="G136" s="8">
        <v>8120</v>
      </c>
      <c r="H136" s="10">
        <f t="shared" si="7"/>
        <v>89472617.024000004</v>
      </c>
      <c r="I136" s="14">
        <f>VLOOKUP(C136,'Draw Data'!A:B,2,0)</f>
        <v>57563</v>
      </c>
      <c r="J136" s="10">
        <f t="shared" si="8"/>
        <v>1554.3424947275159</v>
      </c>
    </row>
    <row r="137" spans="2:10">
      <c r="B137" s="12">
        <f t="shared" si="6"/>
        <v>46023</v>
      </c>
      <c r="C137" s="7">
        <v>46034</v>
      </c>
      <c r="D137" s="8">
        <v>7435</v>
      </c>
      <c r="E137" s="9">
        <v>10120.662</v>
      </c>
      <c r="F137" s="8">
        <v>9270</v>
      </c>
      <c r="G137" s="8">
        <v>8280</v>
      </c>
      <c r="H137" s="10">
        <f t="shared" si="7"/>
        <v>90340121.969999999</v>
      </c>
      <c r="I137" s="14">
        <f>VLOOKUP(C137,'Draw Data'!A:B,2,0)</f>
        <v>58106</v>
      </c>
      <c r="J137" s="10">
        <f t="shared" si="8"/>
        <v>1554.7468758820087</v>
      </c>
    </row>
    <row r="138" spans="2:10">
      <c r="B138" s="12">
        <f t="shared" si="6"/>
        <v>46023</v>
      </c>
      <c r="C138" s="7">
        <v>46035</v>
      </c>
      <c r="D138" s="8">
        <v>7342</v>
      </c>
      <c r="E138" s="9">
        <v>10262.578</v>
      </c>
      <c r="F138" s="8">
        <v>9190</v>
      </c>
      <c r="G138" s="8">
        <v>8820</v>
      </c>
      <c r="H138" s="10">
        <f t="shared" si="7"/>
        <v>90836447.675999999</v>
      </c>
      <c r="I138" s="14">
        <f>VLOOKUP(C138,'Draw Data'!A:B,2,0)</f>
        <v>59597</v>
      </c>
      <c r="J138" s="10">
        <f t="shared" si="8"/>
        <v>1524.1781914525898</v>
      </c>
    </row>
    <row r="139" spans="2:10">
      <c r="B139" s="12">
        <f t="shared" si="6"/>
        <v>46023</v>
      </c>
      <c r="C139" s="7">
        <v>46036</v>
      </c>
      <c r="D139" s="8">
        <v>7437</v>
      </c>
      <c r="E139" s="9">
        <v>10188.973</v>
      </c>
      <c r="F139" s="8">
        <v>9140</v>
      </c>
      <c r="G139" s="8">
        <v>8120</v>
      </c>
      <c r="H139" s="10">
        <f t="shared" si="7"/>
        <v>90618992.201000005</v>
      </c>
      <c r="I139" s="14">
        <f>VLOOKUP(C139,'Draw Data'!A:B,2,0)</f>
        <v>58764</v>
      </c>
      <c r="J139" s="10">
        <f t="shared" si="8"/>
        <v>1542.083455874345</v>
      </c>
    </row>
    <row r="140" spans="2:10">
      <c r="B140" s="12">
        <f t="shared" si="6"/>
        <v>46023</v>
      </c>
      <c r="C140" s="7">
        <v>46037</v>
      </c>
      <c r="D140" s="8">
        <v>7348</v>
      </c>
      <c r="E140" s="9">
        <v>10221.734</v>
      </c>
      <c r="F140" s="8">
        <v>9160</v>
      </c>
      <c r="G140" s="8">
        <v>9280</v>
      </c>
      <c r="H140" s="10">
        <f t="shared" si="7"/>
        <v>90967701.431999996</v>
      </c>
      <c r="I140" s="14">
        <f>VLOOKUP(C140,'Draw Data'!A:B,2,0)</f>
        <v>58803</v>
      </c>
      <c r="J140" s="10">
        <f t="shared" si="8"/>
        <v>1546.9908241416254</v>
      </c>
    </row>
    <row r="141" spans="2:10">
      <c r="B141" s="12">
        <f t="shared" si="6"/>
        <v>46023</v>
      </c>
      <c r="C141" s="7">
        <v>46038</v>
      </c>
      <c r="D141" s="8">
        <v>7388</v>
      </c>
      <c r="E141" s="9">
        <v>10241.876</v>
      </c>
      <c r="F141" s="8">
        <v>9200</v>
      </c>
      <c r="G141" s="8">
        <v>8730</v>
      </c>
      <c r="H141" s="10">
        <f t="shared" si="7"/>
        <v>91086779.887999997</v>
      </c>
      <c r="I141" s="14">
        <f>VLOOKUP(C141,'Draw Data'!A:B,2,0)</f>
        <v>58443</v>
      </c>
      <c r="J141" s="10">
        <f t="shared" si="8"/>
        <v>1558.557566996903</v>
      </c>
    </row>
    <row r="142" spans="2:10">
      <c r="B142" s="12">
        <f t="shared" si="6"/>
        <v>46023</v>
      </c>
      <c r="C142" s="7">
        <v>46039</v>
      </c>
      <c r="D142" s="8">
        <v>7348</v>
      </c>
      <c r="E142" s="9">
        <v>10201.896000000001</v>
      </c>
      <c r="F142" s="8">
        <v>9210</v>
      </c>
      <c r="G142" s="8">
        <v>8000</v>
      </c>
      <c r="H142" s="10">
        <f t="shared" si="7"/>
        <v>89764131.807999998</v>
      </c>
      <c r="I142" s="14">
        <f>VLOOKUP(C142,'Draw Data'!A:B,2,0)</f>
        <v>57641</v>
      </c>
      <c r="J142" s="10">
        <f t="shared" si="8"/>
        <v>1557.2965737582624</v>
      </c>
    </row>
    <row r="143" spans="2:10">
      <c r="B143" s="12">
        <f t="shared" si="6"/>
        <v>46023</v>
      </c>
      <c r="C143" s="7">
        <v>46040</v>
      </c>
      <c r="D143" s="8">
        <v>7431</v>
      </c>
      <c r="E143" s="9">
        <v>10140.983</v>
      </c>
      <c r="F143" s="8">
        <v>9110</v>
      </c>
      <c r="G143" s="8">
        <v>9310</v>
      </c>
      <c r="H143" s="10">
        <f t="shared" si="7"/>
        <v>91198844.673000008</v>
      </c>
      <c r="I143" s="14">
        <f>VLOOKUP(C143,'Draw Data'!A:B,2,0)</f>
        <v>59152</v>
      </c>
      <c r="J143" s="10">
        <f t="shared" si="8"/>
        <v>1541.7711095651882</v>
      </c>
    </row>
    <row r="144" spans="2:10">
      <c r="B144" s="12">
        <f t="shared" si="6"/>
        <v>46023</v>
      </c>
      <c r="C144" s="7">
        <v>46041</v>
      </c>
      <c r="D144" s="8">
        <v>7450</v>
      </c>
      <c r="E144" s="9">
        <v>10196.429</v>
      </c>
      <c r="F144" s="8">
        <v>9180</v>
      </c>
      <c r="G144" s="8">
        <v>8060</v>
      </c>
      <c r="H144" s="10">
        <f t="shared" si="7"/>
        <v>90789796.049999997</v>
      </c>
      <c r="I144" s="14">
        <f>VLOOKUP(C144,'Draw Data'!A:B,2,0)</f>
        <v>58359</v>
      </c>
      <c r="J144" s="10">
        <f t="shared" si="8"/>
        <v>1555.7119904384926</v>
      </c>
    </row>
    <row r="145" spans="2:10">
      <c r="B145" s="12">
        <f t="shared" si="6"/>
        <v>46023</v>
      </c>
      <c r="C145" s="7">
        <v>46042</v>
      </c>
      <c r="D145" s="8">
        <v>7415</v>
      </c>
      <c r="E145" s="9">
        <v>10193.288</v>
      </c>
      <c r="F145" s="8">
        <v>9170</v>
      </c>
      <c r="G145" s="8">
        <v>8990</v>
      </c>
      <c r="H145" s="10">
        <f t="shared" si="7"/>
        <v>91200830.520000011</v>
      </c>
      <c r="I145" s="14">
        <f>VLOOKUP(C145,'Draw Data'!A:B,2,0)</f>
        <v>59902</v>
      </c>
      <c r="J145" s="10">
        <f t="shared" si="8"/>
        <v>1522.5005929685153</v>
      </c>
    </row>
    <row r="146" spans="2:10">
      <c r="B146" s="12">
        <f t="shared" si="6"/>
        <v>46023</v>
      </c>
      <c r="C146" s="7">
        <v>46043</v>
      </c>
      <c r="D146" s="8">
        <v>7837</v>
      </c>
      <c r="E146" s="9">
        <v>9597.1779999999999</v>
      </c>
      <c r="F146" s="8">
        <v>9080</v>
      </c>
      <c r="G146" s="8">
        <v>9420</v>
      </c>
      <c r="H146" s="10">
        <f t="shared" si="7"/>
        <v>91123083.986000001</v>
      </c>
      <c r="I146" s="14">
        <f>VLOOKUP(C146,'Draw Data'!A:B,2,0)</f>
        <v>59375</v>
      </c>
      <c r="J146" s="10">
        <f t="shared" si="8"/>
        <v>1534.7045723957895</v>
      </c>
    </row>
    <row r="147" spans="2:10">
      <c r="B147" s="12">
        <f t="shared" si="6"/>
        <v>46023</v>
      </c>
      <c r="C147" s="7">
        <v>46044</v>
      </c>
      <c r="D147" s="8">
        <v>7643</v>
      </c>
      <c r="E147" s="9">
        <v>10138.734</v>
      </c>
      <c r="F147" s="8">
        <v>9240</v>
      </c>
      <c r="G147" s="8">
        <v>8330</v>
      </c>
      <c r="H147" s="10">
        <f t="shared" si="7"/>
        <v>92600543.961999997</v>
      </c>
      <c r="I147" s="14">
        <f>VLOOKUP(C147,'Draw Data'!A:B,2,0)</f>
        <v>60262</v>
      </c>
      <c r="J147" s="10">
        <f t="shared" si="8"/>
        <v>1536.6324377219476</v>
      </c>
    </row>
    <row r="148" spans="2:10">
      <c r="B148" s="12">
        <f t="shared" si="6"/>
        <v>46023</v>
      </c>
      <c r="C148" s="7">
        <v>46045</v>
      </c>
      <c r="D148" s="8">
        <v>7400</v>
      </c>
      <c r="E148" s="9">
        <v>10180.716</v>
      </c>
      <c r="F148" s="8">
        <v>7900</v>
      </c>
      <c r="G148" s="8">
        <v>10690</v>
      </c>
      <c r="H148" s="10">
        <f t="shared" si="7"/>
        <v>91324698.400000006</v>
      </c>
      <c r="I148" s="14">
        <f>VLOOKUP(C148,'Draw Data'!A:B,2,0)</f>
        <v>60785</v>
      </c>
      <c r="J148" s="10">
        <f t="shared" si="8"/>
        <v>1502.421623755861</v>
      </c>
    </row>
    <row r="149" spans="2:10">
      <c r="B149" s="12">
        <f t="shared" si="6"/>
        <v>46023</v>
      </c>
      <c r="C149" s="7">
        <v>46046</v>
      </c>
      <c r="D149" s="8">
        <v>7431</v>
      </c>
      <c r="E149" s="9">
        <v>10156.084999999999</v>
      </c>
      <c r="F149" s="8">
        <v>7340</v>
      </c>
      <c r="G149" s="8">
        <v>12220</v>
      </c>
      <c r="H149" s="10">
        <f t="shared" si="7"/>
        <v>92291467.63499999</v>
      </c>
      <c r="I149" s="14">
        <f>VLOOKUP(C149,'Draw Data'!A:B,2,0)</f>
        <v>61513</v>
      </c>
      <c r="J149" s="10">
        <f t="shared" si="8"/>
        <v>1500.3571218279062</v>
      </c>
    </row>
    <row r="150" spans="2:10">
      <c r="B150" s="12">
        <f t="shared" si="6"/>
        <v>46023</v>
      </c>
      <c r="C150" s="7">
        <v>46047</v>
      </c>
      <c r="D150" s="8">
        <v>7623</v>
      </c>
      <c r="E150" s="9">
        <v>10116.672</v>
      </c>
      <c r="F150" s="8">
        <v>7410</v>
      </c>
      <c r="G150" s="8">
        <v>11590</v>
      </c>
      <c r="H150" s="10">
        <f t="shared" si="7"/>
        <v>93459390.656000003</v>
      </c>
      <c r="I150" s="14">
        <f>VLOOKUP(C150,'Draw Data'!A:B,2,0)</f>
        <v>61984</v>
      </c>
      <c r="J150" s="10">
        <f t="shared" si="8"/>
        <v>1507.7986360351058</v>
      </c>
    </row>
    <row r="151" spans="2:10">
      <c r="B151" s="12">
        <f t="shared" si="6"/>
        <v>46023</v>
      </c>
      <c r="C151" s="7">
        <v>46048</v>
      </c>
      <c r="D151" s="8">
        <v>7660</v>
      </c>
      <c r="E151" s="9">
        <v>10149.378000000001</v>
      </c>
      <c r="F151" s="8">
        <v>7270</v>
      </c>
      <c r="G151" s="8">
        <v>10040</v>
      </c>
      <c r="H151" s="10">
        <f t="shared" si="7"/>
        <v>92630835.480000004</v>
      </c>
      <c r="I151" s="14">
        <f>VLOOKUP(C151,'Draw Data'!A:B,2,0)</f>
        <v>59239</v>
      </c>
      <c r="J151" s="10">
        <f t="shared" si="8"/>
        <v>1563.6799318016847</v>
      </c>
    </row>
    <row r="152" spans="2:10">
      <c r="B152" s="12">
        <f t="shared" si="6"/>
        <v>46023</v>
      </c>
      <c r="C152" s="7">
        <v>46049</v>
      </c>
      <c r="D152" s="8">
        <v>7506</v>
      </c>
      <c r="E152" s="9">
        <v>10140.414000000001</v>
      </c>
      <c r="F152" s="8">
        <v>7330</v>
      </c>
      <c r="G152" s="8">
        <v>10630</v>
      </c>
      <c r="H152" s="10">
        <f t="shared" si="7"/>
        <v>91559547.484000012</v>
      </c>
      <c r="I152" s="14">
        <f>VLOOKUP(C152,'Draw Data'!A:B,2,0)</f>
        <v>58261</v>
      </c>
      <c r="J152" s="10">
        <f t="shared" si="8"/>
        <v>1571.54095336503</v>
      </c>
    </row>
    <row r="153" spans="2:10">
      <c r="B153" s="12">
        <f t="shared" si="6"/>
        <v>46023</v>
      </c>
      <c r="C153" s="7">
        <v>46050</v>
      </c>
      <c r="D153" s="8">
        <v>8216</v>
      </c>
      <c r="E153" s="9">
        <v>9329.9380000000001</v>
      </c>
      <c r="F153" s="8">
        <v>7370</v>
      </c>
      <c r="G153" s="8">
        <v>10070</v>
      </c>
      <c r="H153" s="10">
        <f t="shared" si="7"/>
        <v>91653170.607999995</v>
      </c>
      <c r="I153" s="14">
        <f>VLOOKUP(C153,'Draw Data'!A:B,2,0)</f>
        <v>59417</v>
      </c>
      <c r="J153" s="10">
        <f t="shared" si="8"/>
        <v>1542.5412021475336</v>
      </c>
    </row>
    <row r="154" spans="2:10">
      <c r="B154" s="12">
        <f t="shared" si="6"/>
        <v>46023</v>
      </c>
      <c r="C154" s="7">
        <v>46051</v>
      </c>
      <c r="D154" s="8">
        <v>8059</v>
      </c>
      <c r="E154" s="9">
        <v>9812.9030000000002</v>
      </c>
      <c r="F154" s="8">
        <v>7330</v>
      </c>
      <c r="G154" s="8">
        <v>7800</v>
      </c>
      <c r="H154" s="10">
        <f t="shared" si="7"/>
        <v>92093985.276999995</v>
      </c>
      <c r="I154" s="14">
        <f>VLOOKUP(C154,'Draw Data'!A:B,2,0)</f>
        <v>55853</v>
      </c>
      <c r="J154" s="10">
        <f t="shared" si="8"/>
        <v>1648.8637186364206</v>
      </c>
    </row>
    <row r="155" spans="2:10">
      <c r="B155" s="12">
        <f t="shared" si="6"/>
        <v>46023</v>
      </c>
      <c r="C155" s="7">
        <v>46052</v>
      </c>
      <c r="D155" s="8">
        <v>7515</v>
      </c>
      <c r="E155" s="9">
        <v>10126.937</v>
      </c>
      <c r="F155" s="8">
        <v>7330</v>
      </c>
      <c r="G155" s="8">
        <v>6080</v>
      </c>
      <c r="H155" s="10">
        <f t="shared" si="7"/>
        <v>87636531.554999992</v>
      </c>
      <c r="I155" s="14">
        <f>VLOOKUP(C155,'Draw Data'!A:B,2,0)</f>
        <v>53084</v>
      </c>
      <c r="J155" s="10">
        <f t="shared" si="8"/>
        <v>1650.9029378908897</v>
      </c>
    </row>
    <row r="156" spans="2:10">
      <c r="B156" s="12">
        <f t="shared" si="6"/>
        <v>46023</v>
      </c>
      <c r="C156" s="7">
        <v>46053</v>
      </c>
      <c r="D156" s="8">
        <v>7310</v>
      </c>
      <c r="E156" s="9">
        <v>10287.147000000001</v>
      </c>
      <c r="F156" s="8">
        <v>7350</v>
      </c>
      <c r="G156" s="8">
        <v>6750</v>
      </c>
      <c r="H156" s="10">
        <f t="shared" si="7"/>
        <v>87325044.570000008</v>
      </c>
      <c r="I156" s="14">
        <f>VLOOKUP(C156,'Draw Data'!A:B,2,0)</f>
        <v>53421</v>
      </c>
      <c r="J156" s="10">
        <f t="shared" si="8"/>
        <v>1634.6576172291798</v>
      </c>
    </row>
    <row r="157" spans="2:10">
      <c r="B157" s="12">
        <f t="shared" si="6"/>
        <v>46054</v>
      </c>
      <c r="C157" s="7">
        <v>46054</v>
      </c>
      <c r="D157" s="8">
        <v>7338</v>
      </c>
      <c r="E157" s="9">
        <v>10263.175999999999</v>
      </c>
      <c r="F157" s="8">
        <v>7320</v>
      </c>
      <c r="G157" s="8">
        <v>6950</v>
      </c>
      <c r="H157" s="10">
        <f t="shared" si="7"/>
        <v>87583385.487999991</v>
      </c>
      <c r="I157" s="14">
        <f>VLOOKUP(C157,'Draw Data'!A:B,2,0)</f>
        <v>51275</v>
      </c>
      <c r="J157" s="10">
        <f t="shared" si="8"/>
        <v>1708.110882262311</v>
      </c>
    </row>
    <row r="158" spans="2:10">
      <c r="B158" s="12">
        <f t="shared" si="6"/>
        <v>46054</v>
      </c>
      <c r="C158" s="7">
        <v>46055</v>
      </c>
      <c r="D158" s="8">
        <v>7282</v>
      </c>
      <c r="E158" s="9">
        <v>10274.387000000001</v>
      </c>
      <c r="F158" s="8">
        <v>7380</v>
      </c>
      <c r="G158" s="8">
        <v>6330</v>
      </c>
      <c r="H158" s="10">
        <f t="shared" si="7"/>
        <v>86608686.134000003</v>
      </c>
      <c r="I158" s="14">
        <f>VLOOKUP(C158,'Draw Data'!A:B,2,0)</f>
        <v>52460</v>
      </c>
      <c r="J158" s="10">
        <f t="shared" si="8"/>
        <v>1650.9471241707968</v>
      </c>
    </row>
    <row r="159" spans="2:10">
      <c r="B159" s="12">
        <f t="shared" si="6"/>
        <v>46054</v>
      </c>
      <c r="C159" s="7">
        <v>46056</v>
      </c>
      <c r="D159" s="8">
        <v>7179</v>
      </c>
      <c r="E159" s="9">
        <v>10245.061</v>
      </c>
      <c r="F159" s="8">
        <v>7360</v>
      </c>
      <c r="G159" s="8">
        <v>7170</v>
      </c>
      <c r="H159" s="10">
        <f t="shared" si="7"/>
        <v>86045092.919</v>
      </c>
      <c r="I159" s="14">
        <f>VLOOKUP(C159,'Draw Data'!A:B,2,0)</f>
        <v>51342</v>
      </c>
      <c r="J159" s="10">
        <f t="shared" si="8"/>
        <v>1675.9201612519964</v>
      </c>
    </row>
    <row r="160" spans="2:10">
      <c r="B160" s="12">
        <f t="shared" si="6"/>
        <v>46054</v>
      </c>
      <c r="C160" s="7">
        <v>46057</v>
      </c>
      <c r="D160" s="8">
        <v>7504</v>
      </c>
      <c r="E160" s="9">
        <v>9892.8150000000005</v>
      </c>
      <c r="F160" s="8">
        <v>7390</v>
      </c>
      <c r="G160" s="8">
        <v>6740</v>
      </c>
      <c r="H160" s="10">
        <f t="shared" si="7"/>
        <v>86387483.760000005</v>
      </c>
      <c r="I160" s="14">
        <f>VLOOKUP(C160,'Draw Data'!A:B,2,0)</f>
        <v>53057</v>
      </c>
      <c r="J160" s="10">
        <f t="shared" si="8"/>
        <v>1628.2014392068909</v>
      </c>
    </row>
    <row r="161" spans="2:10">
      <c r="B161" s="12">
        <f t="shared" si="6"/>
        <v>46054</v>
      </c>
      <c r="C161" s="7">
        <v>46058</v>
      </c>
      <c r="D161" s="8">
        <v>7834</v>
      </c>
      <c r="E161" s="9">
        <v>9930.0679999999993</v>
      </c>
      <c r="F161" s="8">
        <v>7200</v>
      </c>
      <c r="G161" s="8">
        <v>6340</v>
      </c>
      <c r="H161" s="10">
        <f t="shared" si="7"/>
        <v>89436552.711999997</v>
      </c>
      <c r="I161" s="14">
        <f>VLOOKUP(C161,'Draw Data'!A:B,2,0)</f>
        <v>54614</v>
      </c>
      <c r="J161" s="10">
        <f t="shared" si="8"/>
        <v>1637.6122003881787</v>
      </c>
    </row>
    <row r="162" spans="2:10">
      <c r="B162" s="12">
        <f t="shared" si="6"/>
        <v>46054</v>
      </c>
      <c r="C162" s="7">
        <v>46059</v>
      </c>
      <c r="D162" s="8">
        <v>7858</v>
      </c>
      <c r="E162" s="9">
        <v>9683.5509999999995</v>
      </c>
      <c r="F162" s="8">
        <v>7320</v>
      </c>
      <c r="G162" s="8">
        <v>8820</v>
      </c>
      <c r="H162" s="10">
        <f t="shared" si="7"/>
        <v>89973743.758000001</v>
      </c>
      <c r="I162" s="14">
        <f>VLOOKUP(C162,'Draw Data'!A:B,2,0)</f>
        <v>58152</v>
      </c>
      <c r="J162" s="10">
        <f t="shared" si="8"/>
        <v>1547.2166693836841</v>
      </c>
    </row>
    <row r="163" spans="2:10">
      <c r="B163" s="12">
        <f t="shared" si="6"/>
        <v>46054</v>
      </c>
      <c r="C163" s="7">
        <v>46060</v>
      </c>
      <c r="D163" s="8">
        <v>8165</v>
      </c>
      <c r="E163" s="9">
        <v>9313.5769999999993</v>
      </c>
      <c r="F163" s="8">
        <v>7360</v>
      </c>
      <c r="G163" s="8">
        <v>9450</v>
      </c>
      <c r="H163" s="10">
        <f t="shared" si="7"/>
        <v>90501956.204999998</v>
      </c>
      <c r="I163" s="14">
        <f>VLOOKUP(C163,'Draw Data'!A:B,2,0)</f>
        <v>57870</v>
      </c>
      <c r="J163" s="10">
        <f t="shared" si="8"/>
        <v>1563.8838120787973</v>
      </c>
    </row>
    <row r="164" spans="2:10">
      <c r="B164" s="12">
        <f t="shared" si="6"/>
        <v>46054</v>
      </c>
      <c r="C164" s="7">
        <v>46061</v>
      </c>
      <c r="D164" s="8">
        <v>8059</v>
      </c>
      <c r="E164" s="9">
        <v>9399.5750000000007</v>
      </c>
      <c r="F164" s="8">
        <v>7330</v>
      </c>
      <c r="G164" s="8">
        <v>11819</v>
      </c>
      <c r="H164" s="10">
        <f t="shared" si="7"/>
        <v>92219314.925000012</v>
      </c>
      <c r="I164" s="14">
        <f>VLOOKUP(C164,'Draw Data'!A:B,2,0)</f>
        <v>60404</v>
      </c>
      <c r="J164" s="10">
        <f t="shared" si="8"/>
        <v>1526.7087432123703</v>
      </c>
    </row>
    <row r="165" spans="2:10">
      <c r="B165" s="12">
        <f t="shared" si="6"/>
        <v>46054</v>
      </c>
      <c r="C165" s="7">
        <v>46062</v>
      </c>
      <c r="D165" s="8">
        <v>8058</v>
      </c>
      <c r="E165" s="9">
        <v>9423.9959999999992</v>
      </c>
      <c r="F165" s="8">
        <v>7450</v>
      </c>
      <c r="G165" s="8">
        <v>10824</v>
      </c>
      <c r="H165" s="10">
        <f t="shared" si="7"/>
        <v>91654199.767999992</v>
      </c>
      <c r="I165" s="14">
        <f>VLOOKUP(C165,'Draw Data'!A:B,2,0)</f>
        <v>59531</v>
      </c>
      <c r="J165" s="10">
        <f t="shared" si="8"/>
        <v>1539.604571870118</v>
      </c>
    </row>
    <row r="166" spans="2:10">
      <c r="B166" s="12">
        <f t="shared" si="6"/>
        <v>46054</v>
      </c>
      <c r="C166" s="7">
        <v>46063</v>
      </c>
      <c r="D166" s="8">
        <v>8112</v>
      </c>
      <c r="E166" s="9">
        <v>9409.1020000000008</v>
      </c>
      <c r="F166" s="8">
        <v>7230</v>
      </c>
      <c r="G166" s="8">
        <v>9857</v>
      </c>
      <c r="H166" s="10">
        <f t="shared" si="7"/>
        <v>91021455.42400001</v>
      </c>
      <c r="I166" s="14">
        <f>VLOOKUP(C166,'Draw Data'!A:B,2,0)</f>
        <v>58159</v>
      </c>
      <c r="J166" s="10">
        <f t="shared" si="8"/>
        <v>1565.0450562079818</v>
      </c>
    </row>
    <row r="167" spans="2:10">
      <c r="B167" s="12">
        <f t="shared" si="6"/>
        <v>46054</v>
      </c>
      <c r="C167" s="7">
        <v>46064</v>
      </c>
      <c r="D167" s="8">
        <v>8032</v>
      </c>
      <c r="E167" s="9">
        <v>9453.3799999999992</v>
      </c>
      <c r="F167" s="8">
        <v>7360</v>
      </c>
      <c r="G167" s="8">
        <v>8240</v>
      </c>
      <c r="H167" s="10">
        <f t="shared" si="7"/>
        <v>89345548.159999996</v>
      </c>
      <c r="I167" s="14">
        <f>VLOOKUP(C167,'Draw Data'!A:B,2,0)</f>
        <v>55917</v>
      </c>
      <c r="J167" s="10">
        <f t="shared" si="8"/>
        <v>1597.8244211957008</v>
      </c>
    </row>
    <row r="168" spans="2:10">
      <c r="B168" s="12">
        <f t="shared" si="6"/>
        <v>46054</v>
      </c>
      <c r="C168" s="7">
        <v>46065</v>
      </c>
      <c r="D168" s="8">
        <v>7930</v>
      </c>
      <c r="E168" s="9">
        <v>9631.0419999999995</v>
      </c>
      <c r="F168" s="8">
        <v>7330</v>
      </c>
      <c r="G168" s="8">
        <v>8860</v>
      </c>
      <c r="H168" s="10">
        <f t="shared" si="7"/>
        <v>90297563.060000002</v>
      </c>
      <c r="I168" s="14">
        <f>VLOOKUP(C168,'Draw Data'!A:B,2,0)</f>
        <v>56153</v>
      </c>
      <c r="J168" s="10">
        <f t="shared" si="8"/>
        <v>1608.0630253058607</v>
      </c>
    </row>
    <row r="169" spans="2:10">
      <c r="B169" s="12">
        <f t="shared" si="6"/>
        <v>46054</v>
      </c>
      <c r="C169" s="7">
        <v>46066</v>
      </c>
      <c r="D169" s="8">
        <v>7883</v>
      </c>
      <c r="E169" s="9">
        <v>9679.19</v>
      </c>
      <c r="F169" s="8">
        <v>7250</v>
      </c>
      <c r="G169" s="8">
        <v>5260</v>
      </c>
      <c r="H169" s="10">
        <f t="shared" si="7"/>
        <v>87059654.770000011</v>
      </c>
      <c r="I169" s="14">
        <f>VLOOKUP(C169,'Draw Data'!A:B,2,0)</f>
        <v>51952</v>
      </c>
      <c r="J169" s="10">
        <f t="shared" si="8"/>
        <v>1675.770995726825</v>
      </c>
    </row>
    <row r="170" spans="2:10">
      <c r="B170" s="12">
        <f t="shared" si="6"/>
        <v>46054</v>
      </c>
      <c r="C170" s="7">
        <v>46067</v>
      </c>
      <c r="D170" s="8">
        <v>7680</v>
      </c>
      <c r="E170" s="9">
        <v>9808.893</v>
      </c>
      <c r="F170" s="8">
        <v>7200</v>
      </c>
      <c r="G170" s="8">
        <v>4670</v>
      </c>
      <c r="H170" s="10">
        <f t="shared" si="7"/>
        <v>85540498.239999995</v>
      </c>
      <c r="I170" s="14">
        <f>VLOOKUP(C170,'Draw Data'!A:B,2,0)</f>
        <v>50788</v>
      </c>
      <c r="J170" s="10">
        <f t="shared" si="8"/>
        <v>1684.2659336851223</v>
      </c>
    </row>
    <row r="171" spans="2:10">
      <c r="B171" s="12">
        <f t="shared" si="6"/>
        <v>46054</v>
      </c>
      <c r="C171" s="7">
        <v>46068</v>
      </c>
      <c r="D171" s="8">
        <v>7818</v>
      </c>
      <c r="E171" s="9">
        <v>9768.7479999999996</v>
      </c>
      <c r="F171" s="8">
        <v>7350</v>
      </c>
      <c r="G171" s="8">
        <v>4650</v>
      </c>
      <c r="H171" s="10">
        <f t="shared" si="7"/>
        <v>86692071.863999993</v>
      </c>
      <c r="I171" s="14">
        <f>VLOOKUP(C171,'Draw Data'!A:B,2,0)</f>
        <v>51062</v>
      </c>
      <c r="J171" s="10">
        <f t="shared" si="8"/>
        <v>1697.7805778073712</v>
      </c>
    </row>
    <row r="172" spans="2:10">
      <c r="B172" s="12">
        <f t="shared" si="6"/>
        <v>46054</v>
      </c>
      <c r="C172" s="7">
        <v>46069</v>
      </c>
      <c r="D172" s="8">
        <v>7837</v>
      </c>
      <c r="E172" s="9">
        <v>9403.6110000000008</v>
      </c>
      <c r="F172" s="8">
        <v>7400</v>
      </c>
      <c r="G172" s="8">
        <v>8350</v>
      </c>
      <c r="H172" s="10">
        <f t="shared" si="7"/>
        <v>87241099.407000005</v>
      </c>
      <c r="I172" s="14">
        <f>VLOOKUP(C172,'Draw Data'!A:B,2,0)</f>
        <v>53767</v>
      </c>
      <c r="J172" s="10">
        <f t="shared" si="8"/>
        <v>1622.5770343705249</v>
      </c>
    </row>
    <row r="173" spans="2:10">
      <c r="B173" s="12">
        <f t="shared" si="6"/>
        <v>46054</v>
      </c>
      <c r="C173" s="7">
        <v>46070</v>
      </c>
      <c r="D173" s="8">
        <v>8023</v>
      </c>
      <c r="E173" s="9">
        <v>9513.74</v>
      </c>
      <c r="F173" s="8">
        <v>7370</v>
      </c>
      <c r="G173" s="8">
        <v>8790</v>
      </c>
      <c r="H173" s="10">
        <f t="shared" si="7"/>
        <v>90226336.019999996</v>
      </c>
      <c r="I173" s="14">
        <f>VLOOKUP(C173,'Draw Data'!A:B,2,0)</f>
        <v>55904</v>
      </c>
      <c r="J173" s="10">
        <f t="shared" si="8"/>
        <v>1613.9513455208928</v>
      </c>
    </row>
    <row r="174" spans="2:10">
      <c r="B174" s="12">
        <f t="shared" si="6"/>
        <v>46054</v>
      </c>
      <c r="C174" s="7">
        <v>46071</v>
      </c>
      <c r="D174" s="8">
        <v>8248</v>
      </c>
      <c r="E174" s="9">
        <v>9348.2829999999994</v>
      </c>
      <c r="F174" s="8">
        <v>7330</v>
      </c>
      <c r="G174" s="8">
        <v>10010</v>
      </c>
      <c r="H174" s="10">
        <f t="shared" si="7"/>
        <v>92017038.184</v>
      </c>
      <c r="I174" s="14">
        <f>VLOOKUP(C174,'Draw Data'!A:B,2,0)</f>
        <v>59616</v>
      </c>
      <c r="J174" s="10">
        <f t="shared" si="8"/>
        <v>1543.4956753891572</v>
      </c>
    </row>
    <row r="175" spans="2:10">
      <c r="B175" s="12">
        <f t="shared" si="6"/>
        <v>46054</v>
      </c>
      <c r="C175" s="7">
        <v>46072</v>
      </c>
      <c r="D175" s="8">
        <v>8249</v>
      </c>
      <c r="E175" s="9">
        <v>9382.8230000000003</v>
      </c>
      <c r="F175" s="8">
        <v>7290</v>
      </c>
      <c r="G175" s="8">
        <v>9220</v>
      </c>
      <c r="H175" s="10">
        <f t="shared" si="7"/>
        <v>91597506.927000001</v>
      </c>
      <c r="I175" s="14">
        <f>VLOOKUP(C175,'Draw Data'!A:B,2,0)</f>
        <v>58670</v>
      </c>
      <c r="J175" s="10">
        <f t="shared" si="8"/>
        <v>1561.2324344128174</v>
      </c>
    </row>
    <row r="176" spans="2:10">
      <c r="B176" s="12">
        <f t="shared" si="6"/>
        <v>46054</v>
      </c>
      <c r="C176" s="7">
        <v>46073</v>
      </c>
      <c r="D176" s="8">
        <v>8090</v>
      </c>
      <c r="E176" s="9">
        <v>9441.9959999999992</v>
      </c>
      <c r="F176" s="8">
        <v>7320</v>
      </c>
      <c r="G176" s="8">
        <v>9330</v>
      </c>
      <c r="H176" s="10">
        <f t="shared" si="7"/>
        <v>90704747.640000001</v>
      </c>
      <c r="I176" s="14">
        <f>VLOOKUP(C176,'Draw Data'!A:B,2,0)</f>
        <v>58075</v>
      </c>
      <c r="J176" s="10">
        <f t="shared" si="8"/>
        <v>1561.8553188118813</v>
      </c>
    </row>
    <row r="177" spans="2:10">
      <c r="B177" s="12">
        <f t="shared" si="6"/>
        <v>46054</v>
      </c>
      <c r="C177" s="7">
        <v>46074</v>
      </c>
      <c r="D177" s="8">
        <v>8052</v>
      </c>
      <c r="E177" s="9">
        <v>9523.16</v>
      </c>
      <c r="F177" s="8">
        <v>7195</v>
      </c>
      <c r="G177" s="8">
        <v>8590</v>
      </c>
      <c r="H177" s="10">
        <f t="shared" si="7"/>
        <v>90255584.319999993</v>
      </c>
      <c r="I177" s="14">
        <f>VLOOKUP(C177,'Draw Data'!A:B,2,0)</f>
        <v>57147</v>
      </c>
      <c r="J177" s="10">
        <f t="shared" si="8"/>
        <v>1579.3582221288955</v>
      </c>
    </row>
    <row r="178" spans="2:10">
      <c r="B178" s="12">
        <f t="shared" si="6"/>
        <v>46054</v>
      </c>
      <c r="C178" s="7">
        <v>46075</v>
      </c>
      <c r="D178" s="8">
        <v>8131</v>
      </c>
      <c r="E178" s="9">
        <v>9543.1730000000007</v>
      </c>
      <c r="F178" s="8">
        <v>7375</v>
      </c>
      <c r="G178" s="8">
        <v>7480</v>
      </c>
      <c r="H178" s="10">
        <f t="shared" si="7"/>
        <v>90370839.663000003</v>
      </c>
      <c r="I178" s="14">
        <f>VLOOKUP(C178,'Draw Data'!A:B,2,0)</f>
        <v>56058</v>
      </c>
      <c r="J178" s="10">
        <f t="shared" si="8"/>
        <v>1612.0953238253237</v>
      </c>
    </row>
    <row r="179" spans="2:10">
      <c r="B179" s="12">
        <f t="shared" si="6"/>
        <v>46054</v>
      </c>
      <c r="C179" s="7">
        <v>46076</v>
      </c>
      <c r="D179" s="8">
        <v>8016</v>
      </c>
      <c r="E179" s="9">
        <v>9757.1039999999994</v>
      </c>
      <c r="F179" s="8">
        <v>7330</v>
      </c>
      <c r="G179" s="8">
        <v>6930</v>
      </c>
      <c r="H179" s="10">
        <f t="shared" si="7"/>
        <v>90476545.66399999</v>
      </c>
      <c r="I179" s="14">
        <f>VLOOKUP(C179,'Draw Data'!A:B,2,0)</f>
        <v>56543</v>
      </c>
      <c r="J179" s="10">
        <f t="shared" si="8"/>
        <v>1600.1369871425286</v>
      </c>
    </row>
    <row r="180" spans="2:10">
      <c r="B180" s="12">
        <f t="shared" si="6"/>
        <v>46054</v>
      </c>
      <c r="C180" s="7">
        <v>46077</v>
      </c>
      <c r="D180" s="8">
        <v>7924</v>
      </c>
      <c r="E180" s="9">
        <v>9678.0480000000007</v>
      </c>
      <c r="F180" s="8">
        <v>7240</v>
      </c>
      <c r="G180" s="8">
        <v>7350</v>
      </c>
      <c r="H180" s="10">
        <f t="shared" si="7"/>
        <v>89236252.351999998</v>
      </c>
      <c r="I180" s="14">
        <f>VLOOKUP(C180,'Draw Data'!A:B,2,0)</f>
        <v>55168</v>
      </c>
      <c r="J180" s="10">
        <f t="shared" si="8"/>
        <v>1617.5364767981439</v>
      </c>
    </row>
    <row r="181" spans="2:10">
      <c r="B181" s="12">
        <f t="shared" si="6"/>
        <v>46054</v>
      </c>
      <c r="C181" s="7">
        <v>46078</v>
      </c>
      <c r="D181" s="8">
        <v>8309</v>
      </c>
      <c r="E181" s="9">
        <v>9255.7569999999996</v>
      </c>
      <c r="F181" s="8">
        <v>7300</v>
      </c>
      <c r="G181" s="8">
        <v>8950</v>
      </c>
      <c r="H181" s="10">
        <f t="shared" si="7"/>
        <v>90881084.913000003</v>
      </c>
      <c r="I181" s="14">
        <f>VLOOKUP(C181,'Draw Data'!A:B,2,0)</f>
        <v>57607</v>
      </c>
      <c r="J181" s="10">
        <f t="shared" si="8"/>
        <v>1577.6048902563925</v>
      </c>
    </row>
    <row r="182" spans="2:10">
      <c r="B182" s="12">
        <f t="shared" si="6"/>
        <v>46054</v>
      </c>
      <c r="C182" s="7">
        <v>46079</v>
      </c>
      <c r="D182" s="8">
        <v>8193</v>
      </c>
      <c r="E182" s="9">
        <v>9411.2019999999993</v>
      </c>
      <c r="F182" s="8">
        <v>7350</v>
      </c>
      <c r="G182" s="8">
        <v>9080</v>
      </c>
      <c r="H182" s="10">
        <f t="shared" si="7"/>
        <v>91235777.986000001</v>
      </c>
      <c r="I182" s="14">
        <f>VLOOKUP(C182,'Draw Data'!A:B,2,0)</f>
        <v>56754</v>
      </c>
      <c r="J182" s="10">
        <f t="shared" si="8"/>
        <v>1607.5655986538395</v>
      </c>
    </row>
    <row r="183" spans="2:10">
      <c r="B183" s="12">
        <f t="shared" si="6"/>
        <v>46054</v>
      </c>
      <c r="C183" s="7">
        <v>46080</v>
      </c>
      <c r="D183" s="8">
        <v>8178</v>
      </c>
      <c r="E183" s="9">
        <v>9474.0059999999994</v>
      </c>
      <c r="F183" s="8">
        <v>7360</v>
      </c>
      <c r="G183" s="8">
        <v>9340</v>
      </c>
      <c r="H183" s="10">
        <f t="shared" si="7"/>
        <v>91840421.067999989</v>
      </c>
      <c r="I183" s="14">
        <f>VLOOKUP(C183,'Draw Data'!A:B,2,0)</f>
        <v>57536</v>
      </c>
      <c r="J183" s="10">
        <f t="shared" si="8"/>
        <v>1596.2253383620687</v>
      </c>
    </row>
    <row r="184" spans="2:10">
      <c r="B184" s="12">
        <f t="shared" si="6"/>
        <v>46054</v>
      </c>
      <c r="C184" s="7">
        <v>46081</v>
      </c>
      <c r="D184" s="8">
        <v>8171</v>
      </c>
      <c r="E184" s="9">
        <v>9577.8889999999992</v>
      </c>
      <c r="F184" s="8">
        <v>7240</v>
      </c>
      <c r="G184" s="8">
        <v>10160</v>
      </c>
      <c r="H184" s="10">
        <f t="shared" si="7"/>
        <v>93224931.018999994</v>
      </c>
      <c r="I184" s="14">
        <f>VLOOKUP(C184,'Draw Data'!A:B,2,0)</f>
        <v>59022</v>
      </c>
      <c r="J184" s="10">
        <f t="shared" si="8"/>
        <v>1579.4946125004235</v>
      </c>
    </row>
    <row r="185" spans="2:10">
      <c r="B185" s="12">
        <f t="shared" si="6"/>
        <v>46082</v>
      </c>
      <c r="C185" s="7">
        <v>46082</v>
      </c>
      <c r="D185" s="8">
        <v>8297</v>
      </c>
      <c r="E185" s="9">
        <v>9391.9279999999999</v>
      </c>
      <c r="F185" s="8">
        <v>7320</v>
      </c>
      <c r="G185" s="8">
        <v>10080</v>
      </c>
      <c r="H185" s="10">
        <f t="shared" si="7"/>
        <v>92888826.615999997</v>
      </c>
      <c r="I185" s="14">
        <f>VLOOKUP(C185,'Draw Data'!A:B,2,0)</f>
        <v>60342</v>
      </c>
      <c r="J185" s="10">
        <f t="shared" si="8"/>
        <v>1539.3726859567134</v>
      </c>
    </row>
    <row r="186" spans="2:10">
      <c r="B186" s="12">
        <f t="shared" si="6"/>
        <v>46082</v>
      </c>
      <c r="C186" s="7">
        <v>46083</v>
      </c>
      <c r="D186" s="8">
        <v>8375</v>
      </c>
      <c r="E186" s="9">
        <v>9288.24</v>
      </c>
      <c r="F186" s="8">
        <v>7300</v>
      </c>
      <c r="G186" s="8">
        <v>12690</v>
      </c>
      <c r="H186" s="10">
        <f t="shared" si="7"/>
        <v>94980410</v>
      </c>
      <c r="I186" s="14">
        <f>VLOOKUP(C186,'Draw Data'!A:B,2,0)</f>
        <v>62436</v>
      </c>
      <c r="J186" s="10">
        <f t="shared" si="8"/>
        <v>1521.244314177718</v>
      </c>
    </row>
    <row r="187" spans="2:10">
      <c r="B187" s="12">
        <f t="shared" si="6"/>
        <v>46082</v>
      </c>
      <c r="C187" s="7">
        <v>46084</v>
      </c>
      <c r="D187" s="8">
        <v>8228</v>
      </c>
      <c r="E187" s="9">
        <v>9498.44</v>
      </c>
      <c r="F187" s="8">
        <v>7360</v>
      </c>
      <c r="G187" s="8">
        <v>9540</v>
      </c>
      <c r="H187" s="10">
        <f t="shared" si="7"/>
        <v>92687164.320000008</v>
      </c>
      <c r="I187" s="14">
        <f>VLOOKUP(C187,'Draw Data'!A:B,2,0)</f>
        <v>59597</v>
      </c>
      <c r="J187" s="10">
        <f t="shared" si="8"/>
        <v>1555.2320472507006</v>
      </c>
    </row>
    <row r="188" spans="2:10">
      <c r="B188" s="12">
        <f t="shared" si="6"/>
        <v>46082</v>
      </c>
      <c r="C188" s="7">
        <v>46085</v>
      </c>
      <c r="D188" s="8">
        <v>8092</v>
      </c>
      <c r="E188" s="9">
        <v>9648.6669999999995</v>
      </c>
      <c r="F188" s="8">
        <v>7260</v>
      </c>
      <c r="G188" s="8">
        <v>9250</v>
      </c>
      <c r="H188" s="10">
        <f t="shared" si="7"/>
        <v>92275613.363999993</v>
      </c>
      <c r="I188" s="14">
        <f>VLOOKUP(C188,'Draw Data'!A:B,2,0)</f>
        <v>58832</v>
      </c>
      <c r="J188" s="10">
        <f t="shared" si="8"/>
        <v>1568.4595690100625</v>
      </c>
    </row>
    <row r="189" spans="2:10">
      <c r="B189" s="12">
        <f t="shared" si="6"/>
        <v>46082</v>
      </c>
      <c r="C189" s="7">
        <v>46086</v>
      </c>
      <c r="D189" s="8">
        <v>8275</v>
      </c>
      <c r="E189" s="9">
        <v>9334.8760000000002</v>
      </c>
      <c r="F189" s="8">
        <v>7330</v>
      </c>
      <c r="G189" s="8">
        <v>8320</v>
      </c>
      <c r="H189" s="10">
        <f t="shared" si="7"/>
        <v>90705098.900000006</v>
      </c>
      <c r="I189" s="14">
        <f>VLOOKUP(C189,'Draw Data'!A:B,2,0)</f>
        <v>56231</v>
      </c>
      <c r="J189" s="10">
        <f t="shared" si="8"/>
        <v>1613.0799541178355</v>
      </c>
    </row>
    <row r="190" spans="2:10">
      <c r="B190" s="12">
        <f t="shared" si="6"/>
        <v>46082</v>
      </c>
      <c r="C190" s="7">
        <v>46087</v>
      </c>
      <c r="D190" s="8">
        <v>8137</v>
      </c>
      <c r="E190" s="9">
        <v>9438.7450000000008</v>
      </c>
      <c r="F190" s="8">
        <v>7320</v>
      </c>
      <c r="G190" s="8">
        <v>6970</v>
      </c>
      <c r="H190" s="10">
        <f t="shared" si="7"/>
        <v>89092468.065000013</v>
      </c>
      <c r="I190" s="14">
        <f>VLOOKUP(C190,'Draw Data'!A:B,2,0)</f>
        <v>54391</v>
      </c>
      <c r="J190" s="10">
        <f t="shared" si="8"/>
        <v>1638.0001850489973</v>
      </c>
    </row>
    <row r="191" spans="2:10">
      <c r="B191" s="12">
        <f t="shared" si="6"/>
        <v>46082</v>
      </c>
      <c r="C191" s="7">
        <v>46088</v>
      </c>
      <c r="D191" s="8">
        <v>8127</v>
      </c>
      <c r="E191" s="9">
        <v>9383.3469999999998</v>
      </c>
      <c r="F191" s="8">
        <v>7390</v>
      </c>
      <c r="G191" s="8">
        <v>7220</v>
      </c>
      <c r="H191" s="10">
        <f t="shared" si="7"/>
        <v>88823061.068999991</v>
      </c>
      <c r="I191" s="14">
        <f>VLOOKUP(C191,'Draw Data'!A:B,2,0)</f>
        <v>55258</v>
      </c>
      <c r="J191" s="10">
        <f t="shared" si="8"/>
        <v>1607.4244646747979</v>
      </c>
    </row>
    <row r="192" spans="2:10">
      <c r="B192" s="12">
        <f t="shared" si="6"/>
        <v>46082</v>
      </c>
      <c r="C192" s="7">
        <v>46089</v>
      </c>
      <c r="D192" s="8">
        <v>7854</v>
      </c>
      <c r="E192" s="9">
        <v>9439.1229999999996</v>
      </c>
      <c r="F192" s="8">
        <v>7280</v>
      </c>
      <c r="G192" s="8">
        <v>6420</v>
      </c>
      <c r="H192" s="10">
        <f t="shared" si="7"/>
        <v>85916872.041999996</v>
      </c>
      <c r="I192" s="14">
        <f>VLOOKUP(C192,'Draw Data'!A:B,2,0)</f>
        <v>52217</v>
      </c>
      <c r="J192" s="10">
        <f t="shared" si="8"/>
        <v>1645.3812368002757</v>
      </c>
    </row>
    <row r="193" spans="2:10">
      <c r="B193" s="12">
        <f t="shared" si="6"/>
        <v>46082</v>
      </c>
      <c r="C193" s="7">
        <v>46090</v>
      </c>
      <c r="D193" s="8">
        <v>7671</v>
      </c>
      <c r="E193" s="9">
        <v>9750.5849999999991</v>
      </c>
      <c r="F193" s="8">
        <v>7440</v>
      </c>
      <c r="G193" s="8">
        <v>5880</v>
      </c>
      <c r="H193" s="10">
        <f t="shared" si="7"/>
        <v>86251937.534999996</v>
      </c>
      <c r="I193" s="14">
        <f>VLOOKUP(C193,'Draw Data'!A:B,2,0)</f>
        <v>52540</v>
      </c>
      <c r="J193" s="10">
        <f t="shared" si="8"/>
        <v>1641.6432724590786</v>
      </c>
    </row>
    <row r="194" spans="2:10">
      <c r="B194" s="12">
        <f t="shared" si="6"/>
        <v>46082</v>
      </c>
      <c r="C194" s="7">
        <v>46091</v>
      </c>
      <c r="D194" s="8">
        <v>7800</v>
      </c>
      <c r="E194" s="9">
        <v>9774.0400000000009</v>
      </c>
      <c r="F194" s="8">
        <v>7250</v>
      </c>
      <c r="G194" s="8">
        <v>7070</v>
      </c>
      <c r="H194" s="10">
        <f t="shared" si="7"/>
        <v>88552712</v>
      </c>
      <c r="I194" s="14">
        <f>VLOOKUP(C194,'Draw Data'!A:B,2,0)</f>
        <v>55867</v>
      </c>
      <c r="J194" s="10">
        <f t="shared" si="8"/>
        <v>1585.0629530850053</v>
      </c>
    </row>
    <row r="195" spans="2:10">
      <c r="B195" s="12">
        <f t="shared" si="6"/>
        <v>46082</v>
      </c>
      <c r="C195" s="7">
        <v>46092</v>
      </c>
      <c r="D195" s="8">
        <v>8046</v>
      </c>
      <c r="E195" s="9">
        <v>9520.8549999999996</v>
      </c>
      <c r="F195" s="8">
        <v>7320</v>
      </c>
      <c r="G195" s="8">
        <v>9580</v>
      </c>
      <c r="H195" s="10">
        <f t="shared" si="7"/>
        <v>91138799.329999998</v>
      </c>
      <c r="I195" s="14">
        <f>VLOOKUP(C195,'Draw Data'!A:B,2,0)</f>
        <v>57644</v>
      </c>
      <c r="J195" s="10">
        <f t="shared" si="8"/>
        <v>1581.0630651932552</v>
      </c>
    </row>
    <row r="196" spans="2:10">
      <c r="B196" s="12">
        <f t="shared" si="6"/>
        <v>46082</v>
      </c>
      <c r="C196" s="7">
        <v>46093</v>
      </c>
      <c r="D196" s="8">
        <v>7929</v>
      </c>
      <c r="E196" s="9">
        <v>9623.3649999999998</v>
      </c>
      <c r="F196" s="8">
        <v>7300</v>
      </c>
      <c r="G196" s="8">
        <v>9890</v>
      </c>
      <c r="H196" s="10">
        <f t="shared" si="7"/>
        <v>91087061.084999993</v>
      </c>
      <c r="I196" s="14">
        <f>VLOOKUP(C196,'Draw Data'!A:B,2,0)</f>
        <v>58220</v>
      </c>
      <c r="J196" s="10">
        <f t="shared" si="8"/>
        <v>1564.532138182755</v>
      </c>
    </row>
    <row r="197" spans="2:10">
      <c r="B197" s="12">
        <f t="shared" ref="B197:B260" si="9">DATE(YEAR(C197),MONTH(C197),1)</f>
        <v>46082</v>
      </c>
      <c r="C197" s="7">
        <v>46094</v>
      </c>
      <c r="D197" s="8">
        <v>8048</v>
      </c>
      <c r="E197" s="9">
        <v>9621.0480000000007</v>
      </c>
      <c r="F197" s="8">
        <v>7330</v>
      </c>
      <c r="G197" s="8">
        <v>10500</v>
      </c>
      <c r="H197" s="10">
        <f t="shared" ref="H197:H260" si="10">((D197 *(E197))+ ((F197+G197)*860))</f>
        <v>92763994.304000005</v>
      </c>
      <c r="I197" s="14">
        <f>VLOOKUP(C197,'Draw Data'!A:B,2,0)</f>
        <v>60461</v>
      </c>
      <c r="J197" s="10">
        <f t="shared" ref="J197:J260" si="11">H197/I197</f>
        <v>1534.2782008898298</v>
      </c>
    </row>
    <row r="198" spans="2:10">
      <c r="B198" s="12">
        <f t="shared" si="9"/>
        <v>46082</v>
      </c>
      <c r="C198" s="7">
        <v>46095</v>
      </c>
      <c r="D198" s="8">
        <v>8303</v>
      </c>
      <c r="E198" s="9">
        <v>9320.56</v>
      </c>
      <c r="F198" s="8">
        <v>7320</v>
      </c>
      <c r="G198" s="8">
        <v>10120</v>
      </c>
      <c r="H198" s="10">
        <f t="shared" si="10"/>
        <v>92387009.679999992</v>
      </c>
      <c r="I198" s="14">
        <f>VLOOKUP(C198,'Draw Data'!A:B,2,0)</f>
        <v>58530</v>
      </c>
      <c r="J198" s="10">
        <f t="shared" si="11"/>
        <v>1578.4556582948915</v>
      </c>
    </row>
    <row r="199" spans="2:10">
      <c r="B199" s="12">
        <f t="shared" si="9"/>
        <v>46082</v>
      </c>
      <c r="C199" s="7">
        <v>46096</v>
      </c>
      <c r="D199" s="8">
        <v>8118</v>
      </c>
      <c r="E199" s="9">
        <v>9538.2180000000008</v>
      </c>
      <c r="F199" s="8">
        <v>7370</v>
      </c>
      <c r="G199" s="8">
        <v>10640</v>
      </c>
      <c r="H199" s="10">
        <f t="shared" si="10"/>
        <v>92919853.724000007</v>
      </c>
      <c r="I199" s="14">
        <f>VLOOKUP(C199,'Draw Data'!A:B,2,0)</f>
        <v>60016</v>
      </c>
      <c r="J199" s="10">
        <f t="shared" si="11"/>
        <v>1548.2513617035459</v>
      </c>
    </row>
    <row r="200" spans="2:10">
      <c r="B200" s="12">
        <f t="shared" si="9"/>
        <v>46082</v>
      </c>
      <c r="C200" s="7">
        <v>46097</v>
      </c>
      <c r="D200" s="8">
        <v>7821</v>
      </c>
      <c r="E200" s="9">
        <v>9926.7520000000004</v>
      </c>
      <c r="F200" s="8">
        <v>7340</v>
      </c>
      <c r="G200" s="8">
        <v>10160</v>
      </c>
      <c r="H200" s="10">
        <f t="shared" si="10"/>
        <v>92687127.392000005</v>
      </c>
      <c r="I200" s="14">
        <f>VLOOKUP(C200,'Draw Data'!A:B,2,0)</f>
        <v>58895</v>
      </c>
      <c r="J200" s="10">
        <f t="shared" si="11"/>
        <v>1573.7690362849139</v>
      </c>
    </row>
    <row r="201" spans="2:10">
      <c r="B201" s="12">
        <f t="shared" si="9"/>
        <v>46082</v>
      </c>
      <c r="C201" s="7">
        <v>46098</v>
      </c>
      <c r="D201" s="8">
        <v>7849</v>
      </c>
      <c r="E201" s="9">
        <v>9928.2019999999993</v>
      </c>
      <c r="F201" s="8">
        <v>7280</v>
      </c>
      <c r="G201" s="8">
        <v>9140</v>
      </c>
      <c r="H201" s="10">
        <f t="shared" si="10"/>
        <v>92047657.497999996</v>
      </c>
      <c r="I201" s="14">
        <f>VLOOKUP(C201,'Draw Data'!A:B,2,0)</f>
        <v>56218</v>
      </c>
      <c r="J201" s="10">
        <f t="shared" si="11"/>
        <v>1637.3342612330568</v>
      </c>
    </row>
    <row r="202" spans="2:10">
      <c r="B202" s="12">
        <f t="shared" si="9"/>
        <v>46082</v>
      </c>
      <c r="C202" s="7">
        <v>46099</v>
      </c>
      <c r="D202" s="8">
        <v>7462</v>
      </c>
      <c r="E202" s="9">
        <v>10302.504000000001</v>
      </c>
      <c r="F202" s="8">
        <v>7310</v>
      </c>
      <c r="G202" s="8">
        <v>8410</v>
      </c>
      <c r="H202" s="10">
        <f t="shared" si="10"/>
        <v>90396484.848000005</v>
      </c>
      <c r="I202" s="14">
        <f>VLOOKUP(C202,'Draw Data'!A:B,2,0)</f>
        <v>57020</v>
      </c>
      <c r="J202" s="10">
        <f t="shared" si="11"/>
        <v>1585.3469808488251</v>
      </c>
    </row>
    <row r="203" spans="2:10">
      <c r="B203" s="12">
        <f t="shared" si="9"/>
        <v>46082</v>
      </c>
      <c r="C203" s="7">
        <v>46100</v>
      </c>
      <c r="D203" s="8">
        <v>7522</v>
      </c>
      <c r="E203" s="9">
        <v>10238.290999999999</v>
      </c>
      <c r="F203" s="8">
        <v>6600</v>
      </c>
      <c r="G203" s="8">
        <v>10100</v>
      </c>
      <c r="H203" s="10">
        <f t="shared" si="10"/>
        <v>91374424.901999995</v>
      </c>
      <c r="I203" s="14">
        <f>VLOOKUP(C203,'Draw Data'!A:B,2,0)</f>
        <v>58730</v>
      </c>
      <c r="J203" s="10">
        <f t="shared" si="11"/>
        <v>1555.8390073556955</v>
      </c>
    </row>
    <row r="204" spans="2:10">
      <c r="B204" s="12">
        <f t="shared" si="9"/>
        <v>46082</v>
      </c>
      <c r="C204" s="7">
        <v>46101</v>
      </c>
      <c r="D204" s="8">
        <v>7398</v>
      </c>
      <c r="E204" s="9">
        <v>10311.263999999999</v>
      </c>
      <c r="F204" s="8">
        <v>7290</v>
      </c>
      <c r="G204" s="8">
        <v>10290</v>
      </c>
      <c r="H204" s="10">
        <f t="shared" si="10"/>
        <v>91401531.071999997</v>
      </c>
      <c r="I204" s="14">
        <f>VLOOKUP(C204,'Draw Data'!A:B,2,0)</f>
        <v>57692</v>
      </c>
      <c r="J204" s="10">
        <f t="shared" si="11"/>
        <v>1584.301654856826</v>
      </c>
    </row>
    <row r="205" spans="2:10">
      <c r="B205" s="12">
        <f t="shared" si="9"/>
        <v>46082</v>
      </c>
      <c r="C205" s="7">
        <v>46102</v>
      </c>
      <c r="D205" s="8">
        <v>7536</v>
      </c>
      <c r="E205" s="9">
        <v>10307.215</v>
      </c>
      <c r="F205" s="8">
        <v>7380</v>
      </c>
      <c r="G205" s="8">
        <v>9760</v>
      </c>
      <c r="H205" s="10">
        <f t="shared" si="10"/>
        <v>92415572.239999995</v>
      </c>
      <c r="I205" s="14">
        <f>VLOOKUP(C205,'Draw Data'!A:B,2,0)</f>
        <v>57418</v>
      </c>
      <c r="J205" s="10">
        <f t="shared" si="11"/>
        <v>1609.5226625796788</v>
      </c>
    </row>
    <row r="206" spans="2:10">
      <c r="B206" s="12">
        <f t="shared" si="9"/>
        <v>46082</v>
      </c>
      <c r="C206" s="7">
        <v>46103</v>
      </c>
      <c r="D206" s="8">
        <v>7502</v>
      </c>
      <c r="E206" s="9">
        <v>10273.088</v>
      </c>
      <c r="F206" s="8">
        <v>7330</v>
      </c>
      <c r="G206" s="8">
        <v>10470</v>
      </c>
      <c r="H206" s="10">
        <f t="shared" si="10"/>
        <v>92376706.175999999</v>
      </c>
      <c r="I206" s="14">
        <f>VLOOKUP(C206,'Draw Data'!A:B,2,0)</f>
        <v>58660</v>
      </c>
      <c r="J206" s="10">
        <f t="shared" si="11"/>
        <v>1574.7818986703035</v>
      </c>
    </row>
    <row r="207" spans="2:10">
      <c r="B207" s="12">
        <f t="shared" si="9"/>
        <v>46082</v>
      </c>
      <c r="C207" s="7">
        <v>46104</v>
      </c>
      <c r="D207" s="8">
        <v>7653</v>
      </c>
      <c r="E207" s="9">
        <v>10232.115</v>
      </c>
      <c r="F207" s="8">
        <v>7280</v>
      </c>
      <c r="G207" s="8">
        <v>10460</v>
      </c>
      <c r="H207" s="10">
        <f t="shared" si="10"/>
        <v>93562776.094999999</v>
      </c>
      <c r="I207" s="14">
        <f>VLOOKUP(C207,'Draw Data'!A:B,2,0)</f>
        <v>59945</v>
      </c>
      <c r="J207" s="10">
        <f t="shared" si="11"/>
        <v>1560.8103443990324</v>
      </c>
    </row>
    <row r="208" spans="2:10">
      <c r="B208" s="12">
        <f t="shared" si="9"/>
        <v>46082</v>
      </c>
      <c r="C208" s="7">
        <v>46105</v>
      </c>
      <c r="D208" s="8">
        <v>7642</v>
      </c>
      <c r="E208" s="9">
        <v>10271.003000000001</v>
      </c>
      <c r="F208" s="8">
        <v>7400</v>
      </c>
      <c r="G208" s="8">
        <v>9140</v>
      </c>
      <c r="H208" s="10">
        <f t="shared" si="10"/>
        <v>92715404.925999999</v>
      </c>
      <c r="I208" s="14">
        <f>VLOOKUP(C208,'Draw Data'!A:B,2,0)</f>
        <v>58754</v>
      </c>
      <c r="J208" s="10">
        <f t="shared" si="11"/>
        <v>1578.0271117881337</v>
      </c>
    </row>
    <row r="209" spans="2:10">
      <c r="B209" s="12">
        <f t="shared" si="9"/>
        <v>46082</v>
      </c>
      <c r="C209" s="7">
        <v>46106</v>
      </c>
      <c r="D209" s="8">
        <v>7547</v>
      </c>
      <c r="E209" s="9">
        <v>10123.641</v>
      </c>
      <c r="F209" s="8">
        <v>7300</v>
      </c>
      <c r="G209" s="8">
        <v>8750</v>
      </c>
      <c r="H209" s="10">
        <f t="shared" si="10"/>
        <v>90206118.627000004</v>
      </c>
      <c r="I209" s="14">
        <f>VLOOKUP(C209,'Draw Data'!A:B,2,0)</f>
        <v>57180</v>
      </c>
      <c r="J209" s="10">
        <f t="shared" si="11"/>
        <v>1577.5816479013642</v>
      </c>
    </row>
    <row r="210" spans="2:10">
      <c r="B210" s="12">
        <f t="shared" si="9"/>
        <v>46082</v>
      </c>
      <c r="C210" s="7">
        <v>46107</v>
      </c>
      <c r="D210" s="8">
        <v>7375</v>
      </c>
      <c r="E210" s="9">
        <v>10290.146000000001</v>
      </c>
      <c r="F210" s="8">
        <v>7300</v>
      </c>
      <c r="G210" s="8">
        <v>5960</v>
      </c>
      <c r="H210" s="10">
        <f t="shared" si="10"/>
        <v>87293426.75</v>
      </c>
      <c r="I210" s="14">
        <f>VLOOKUP(C210,'Draw Data'!A:B,2,0)</f>
        <v>51341</v>
      </c>
      <c r="J210" s="10">
        <f t="shared" si="11"/>
        <v>1700.2673642897489</v>
      </c>
    </row>
    <row r="211" spans="2:10">
      <c r="B211" s="12">
        <f t="shared" si="9"/>
        <v>46082</v>
      </c>
      <c r="C211" s="7">
        <v>46108</v>
      </c>
      <c r="D211" s="8">
        <v>7713</v>
      </c>
      <c r="E211" s="9">
        <v>9926.6489999999994</v>
      </c>
      <c r="F211" s="8">
        <v>7330</v>
      </c>
      <c r="G211" s="8">
        <v>6160</v>
      </c>
      <c r="H211" s="10">
        <f t="shared" si="10"/>
        <v>88165643.736999989</v>
      </c>
      <c r="I211" s="14">
        <f>VLOOKUP(C211,'Draw Data'!A:B,2,0)</f>
        <v>53056</v>
      </c>
      <c r="J211" s="10">
        <f t="shared" si="11"/>
        <v>1661.7469039693906</v>
      </c>
    </row>
    <row r="212" spans="2:10">
      <c r="B212" s="12">
        <f t="shared" si="9"/>
        <v>46082</v>
      </c>
      <c r="C212" s="7">
        <v>46109</v>
      </c>
      <c r="D212" s="8">
        <v>7810</v>
      </c>
      <c r="E212" s="9">
        <v>9982.8700000000008</v>
      </c>
      <c r="F212" s="8">
        <v>7370</v>
      </c>
      <c r="G212" s="8">
        <v>5600</v>
      </c>
      <c r="H212" s="10">
        <f t="shared" si="10"/>
        <v>89120414.700000003</v>
      </c>
      <c r="I212" s="14">
        <f>VLOOKUP(C212,'Draw Data'!A:B,2,0)</f>
        <v>53446</v>
      </c>
      <c r="J212" s="10">
        <f t="shared" si="11"/>
        <v>1667.4852131123002</v>
      </c>
    </row>
    <row r="213" spans="2:10">
      <c r="B213" s="12">
        <f t="shared" si="9"/>
        <v>46082</v>
      </c>
      <c r="C213" s="7">
        <v>46110</v>
      </c>
      <c r="D213" s="8">
        <v>7516</v>
      </c>
      <c r="E213" s="9">
        <v>10232.007</v>
      </c>
      <c r="F213" s="8">
        <v>7320</v>
      </c>
      <c r="G213" s="8">
        <v>9560</v>
      </c>
      <c r="H213" s="10">
        <f t="shared" si="10"/>
        <v>91420564.612000003</v>
      </c>
      <c r="I213" s="14">
        <f>VLOOKUP(C213,'Draw Data'!A:B,2,0)</f>
        <v>58382</v>
      </c>
      <c r="J213" s="10">
        <f t="shared" si="11"/>
        <v>1565.9032683361311</v>
      </c>
    </row>
    <row r="214" spans="2:10">
      <c r="B214" s="12">
        <f t="shared" si="9"/>
        <v>46082</v>
      </c>
      <c r="C214" s="7">
        <v>46111</v>
      </c>
      <c r="D214" s="8">
        <v>8154</v>
      </c>
      <c r="E214" s="9">
        <v>9539.0540000000001</v>
      </c>
      <c r="F214" s="8">
        <v>7255</v>
      </c>
      <c r="G214" s="8">
        <v>8960</v>
      </c>
      <c r="H214" s="10">
        <f t="shared" si="10"/>
        <v>91726346.316</v>
      </c>
      <c r="I214" s="14">
        <f>VLOOKUP(C214,'Draw Data'!A:B,2,0)</f>
        <v>57686</v>
      </c>
      <c r="J214" s="10">
        <f t="shared" si="11"/>
        <v>1590.0971867697535</v>
      </c>
    </row>
    <row r="215" spans="2:10">
      <c r="B215" s="12">
        <f t="shared" si="9"/>
        <v>46082</v>
      </c>
      <c r="C215" s="7">
        <v>46112</v>
      </c>
      <c r="D215" s="8">
        <v>8166</v>
      </c>
      <c r="E215" s="9">
        <v>9640.5</v>
      </c>
      <c r="F215" s="8">
        <v>7275</v>
      </c>
      <c r="G215" s="8">
        <v>8380</v>
      </c>
      <c r="H215" s="10">
        <f t="shared" si="10"/>
        <v>92187623</v>
      </c>
      <c r="I215" s="14">
        <f>VLOOKUP(C215,'Draw Data'!A:B,2,0)</f>
        <v>56610</v>
      </c>
      <c r="J215" s="10">
        <f t="shared" si="11"/>
        <v>1628.4688747571101</v>
      </c>
    </row>
    <row r="216" spans="2:10">
      <c r="B216" s="12">
        <f t="shared" si="9"/>
        <v>46113</v>
      </c>
      <c r="C216" s="7">
        <v>46113</v>
      </c>
      <c r="D216" s="8">
        <v>7835</v>
      </c>
      <c r="E216" s="9">
        <v>10197.007</v>
      </c>
      <c r="F216" s="8">
        <v>7330</v>
      </c>
      <c r="G216" s="8">
        <v>6050</v>
      </c>
      <c r="H216" s="10">
        <f t="shared" si="10"/>
        <v>91400349.844999999</v>
      </c>
      <c r="I216" s="14">
        <f>VLOOKUP(C216,'Draw Data'!A:B,2,0)</f>
        <v>56317</v>
      </c>
      <c r="J216" s="10">
        <f t="shared" si="11"/>
        <v>1622.9619803078999</v>
      </c>
    </row>
    <row r="217" spans="2:10">
      <c r="B217" s="12">
        <f t="shared" si="9"/>
        <v>46113</v>
      </c>
      <c r="C217" s="7">
        <v>46114</v>
      </c>
      <c r="D217" s="8">
        <v>7798</v>
      </c>
      <c r="E217" s="9">
        <v>10162.174999999999</v>
      </c>
      <c r="F217" s="8">
        <v>7330</v>
      </c>
      <c r="G217" s="8">
        <v>6220</v>
      </c>
      <c r="H217" s="10">
        <f t="shared" si="10"/>
        <v>90897640.649999991</v>
      </c>
      <c r="I217" s="14">
        <f>VLOOKUP(C217,'Draw Data'!A:B,2,0)</f>
        <v>56911</v>
      </c>
      <c r="J217" s="10">
        <f t="shared" si="11"/>
        <v>1597.1893069881041</v>
      </c>
    </row>
    <row r="218" spans="2:10">
      <c r="B218" s="12">
        <f t="shared" si="9"/>
        <v>46113</v>
      </c>
      <c r="C218" s="7">
        <v>46115</v>
      </c>
      <c r="D218" s="8">
        <v>7638</v>
      </c>
      <c r="E218" s="9">
        <v>10257.793</v>
      </c>
      <c r="F218" s="8">
        <v>7340</v>
      </c>
      <c r="G218" s="8">
        <v>6520</v>
      </c>
      <c r="H218" s="10">
        <f t="shared" si="10"/>
        <v>90268622.934</v>
      </c>
      <c r="I218" s="14">
        <f>VLOOKUP(C218,'Draw Data'!A:B,2,0)</f>
        <v>55947</v>
      </c>
      <c r="J218" s="10">
        <f t="shared" si="11"/>
        <v>1613.4667262587807</v>
      </c>
    </row>
    <row r="219" spans="2:10">
      <c r="B219" s="12">
        <f t="shared" si="9"/>
        <v>46113</v>
      </c>
      <c r="C219" s="7">
        <v>46116</v>
      </c>
      <c r="D219" s="8">
        <v>7666</v>
      </c>
      <c r="E219" s="9">
        <v>10206.727000000001</v>
      </c>
      <c r="F219" s="8">
        <v>7310</v>
      </c>
      <c r="G219" s="8">
        <v>7110</v>
      </c>
      <c r="H219" s="10">
        <f t="shared" si="10"/>
        <v>90645969.182000011</v>
      </c>
      <c r="I219" s="14">
        <f>VLOOKUP(C219,'Draw Data'!A:B,2,0)</f>
        <v>56455</v>
      </c>
      <c r="J219" s="10">
        <f t="shared" si="11"/>
        <v>1605.6322590027457</v>
      </c>
    </row>
    <row r="220" spans="2:10">
      <c r="B220" s="12">
        <f t="shared" si="9"/>
        <v>46113</v>
      </c>
      <c r="C220" s="7">
        <v>46117</v>
      </c>
      <c r="D220" s="8">
        <v>7727</v>
      </c>
      <c r="E220" s="9">
        <v>10002.581</v>
      </c>
      <c r="F220" s="8">
        <v>7350</v>
      </c>
      <c r="G220" s="8">
        <v>11140</v>
      </c>
      <c r="H220" s="10">
        <f t="shared" si="10"/>
        <v>93191343.386999995</v>
      </c>
      <c r="I220" s="14">
        <f>VLOOKUP(C220,'Draw Data'!A:B,2,0)</f>
        <v>60842</v>
      </c>
      <c r="J220" s="10">
        <f t="shared" si="11"/>
        <v>1531.6942800532527</v>
      </c>
    </row>
    <row r="221" spans="2:10">
      <c r="B221" s="12">
        <f t="shared" si="9"/>
        <v>46113</v>
      </c>
      <c r="C221" s="7">
        <v>46118</v>
      </c>
      <c r="D221" s="8">
        <v>7790</v>
      </c>
      <c r="E221" s="9">
        <v>9978.7530000000006</v>
      </c>
      <c r="F221" s="8">
        <v>7320</v>
      </c>
      <c r="G221" s="8">
        <v>10210</v>
      </c>
      <c r="H221" s="10">
        <f t="shared" si="10"/>
        <v>92810285.870000005</v>
      </c>
      <c r="I221" s="14">
        <f>VLOOKUP(C221,'Draw Data'!A:B,2,0)</f>
        <v>60014</v>
      </c>
      <c r="J221" s="10">
        <f t="shared" si="11"/>
        <v>1546.477253140934</v>
      </c>
    </row>
    <row r="222" spans="2:10">
      <c r="B222" s="12">
        <f t="shared" si="9"/>
        <v>46113</v>
      </c>
      <c r="C222" s="7">
        <v>46119</v>
      </c>
      <c r="D222" s="8">
        <v>8059</v>
      </c>
      <c r="E222" s="9">
        <v>9637.2049999999999</v>
      </c>
      <c r="F222" s="8">
        <v>7340</v>
      </c>
      <c r="G222" s="8">
        <v>9840</v>
      </c>
      <c r="H222" s="10">
        <f t="shared" si="10"/>
        <v>92441035.094999999</v>
      </c>
      <c r="I222" s="14">
        <f>VLOOKUP(C222,'Draw Data'!A:B,2,0)</f>
        <v>59616</v>
      </c>
      <c r="J222" s="10">
        <f t="shared" si="11"/>
        <v>1550.6078082226247</v>
      </c>
    </row>
    <row r="223" spans="2:10">
      <c r="B223" s="12">
        <f t="shared" si="9"/>
        <v>46113</v>
      </c>
      <c r="C223" s="7">
        <v>46120</v>
      </c>
      <c r="D223" s="8">
        <v>8361</v>
      </c>
      <c r="E223" s="9">
        <v>9503.6470000000008</v>
      </c>
      <c r="F223" s="8">
        <v>7300</v>
      </c>
      <c r="G223" s="8">
        <v>9080</v>
      </c>
      <c r="H223" s="10">
        <f t="shared" si="10"/>
        <v>93546792.567000002</v>
      </c>
      <c r="I223" s="14">
        <f>VLOOKUP(C223,'Draw Data'!A:B,2,0)</f>
        <v>58450</v>
      </c>
      <c r="J223" s="10">
        <f t="shared" si="11"/>
        <v>1600.4583843798118</v>
      </c>
    </row>
    <row r="224" spans="2:10">
      <c r="B224" s="12">
        <f t="shared" si="9"/>
        <v>46113</v>
      </c>
      <c r="C224" s="7">
        <v>46121</v>
      </c>
      <c r="D224" s="8">
        <v>7892</v>
      </c>
      <c r="E224" s="9">
        <v>9944.9599999999991</v>
      </c>
      <c r="F224" s="8">
        <v>7390</v>
      </c>
      <c r="G224" s="8">
        <v>9900</v>
      </c>
      <c r="H224" s="10">
        <f t="shared" si="10"/>
        <v>93355024.319999993</v>
      </c>
      <c r="I224" s="14">
        <f>VLOOKUP(C224,'Draw Data'!A:B,2,0)</f>
        <v>59674</v>
      </c>
      <c r="J224" s="10">
        <f t="shared" si="11"/>
        <v>1564.4170714213894</v>
      </c>
    </row>
    <row r="225" spans="2:10">
      <c r="B225" s="12">
        <f t="shared" si="9"/>
        <v>46113</v>
      </c>
      <c r="C225" s="7">
        <v>46122</v>
      </c>
      <c r="D225" s="8">
        <v>7646</v>
      </c>
      <c r="E225" s="9">
        <v>10116.788</v>
      </c>
      <c r="F225" s="8">
        <v>7260</v>
      </c>
      <c r="G225" s="8">
        <v>9890</v>
      </c>
      <c r="H225" s="10">
        <f t="shared" si="10"/>
        <v>92101961.048000008</v>
      </c>
      <c r="I225" s="14">
        <f>VLOOKUP(C225,'Draw Data'!A:B,2,0)</f>
        <v>59306</v>
      </c>
      <c r="J225" s="10">
        <f t="shared" si="11"/>
        <v>1552.9956673523759</v>
      </c>
    </row>
    <row r="226" spans="2:10">
      <c r="B226" s="12">
        <f t="shared" si="9"/>
        <v>46113</v>
      </c>
      <c r="C226" s="7">
        <v>46123</v>
      </c>
      <c r="D226" s="8">
        <v>7639</v>
      </c>
      <c r="E226" s="9">
        <v>10201.905000000001</v>
      </c>
      <c r="F226" s="8">
        <v>7340</v>
      </c>
      <c r="G226" s="8">
        <v>9980</v>
      </c>
      <c r="H226" s="10">
        <f t="shared" si="10"/>
        <v>92827552.295000002</v>
      </c>
      <c r="I226" s="14">
        <f>VLOOKUP(C226,'Draw Data'!A:B,2,0)</f>
        <v>60444</v>
      </c>
      <c r="J226" s="10">
        <f t="shared" si="11"/>
        <v>1535.7612384190325</v>
      </c>
    </row>
    <row r="227" spans="2:10">
      <c r="B227" s="12">
        <f t="shared" si="9"/>
        <v>46113</v>
      </c>
      <c r="C227" s="7">
        <v>46124</v>
      </c>
      <c r="D227" s="8">
        <v>7612</v>
      </c>
      <c r="E227" s="9">
        <v>10144.548000000001</v>
      </c>
      <c r="F227" s="8">
        <v>7330</v>
      </c>
      <c r="G227" s="8">
        <v>10510</v>
      </c>
      <c r="H227" s="10">
        <f t="shared" si="10"/>
        <v>92562699.376000002</v>
      </c>
      <c r="I227" s="14">
        <f>VLOOKUP(C227,'Draw Data'!A:B,2,0)</f>
        <v>61149</v>
      </c>
      <c r="J227" s="10">
        <f t="shared" si="11"/>
        <v>1513.7238446417766</v>
      </c>
    </row>
    <row r="228" spans="2:10">
      <c r="B228" s="12">
        <f t="shared" si="9"/>
        <v>46113</v>
      </c>
      <c r="C228" s="7">
        <v>46125</v>
      </c>
      <c r="D228" s="8">
        <v>7955</v>
      </c>
      <c r="E228" s="9">
        <v>9803.6350000000002</v>
      </c>
      <c r="F228" s="8">
        <v>7330</v>
      </c>
      <c r="G228" s="8">
        <v>10290</v>
      </c>
      <c r="H228" s="10">
        <f t="shared" si="10"/>
        <v>93141116.424999997</v>
      </c>
      <c r="I228" s="14">
        <f>VLOOKUP(C228,'Draw Data'!A:B,2,0)</f>
        <v>61488</v>
      </c>
      <c r="J228" s="10">
        <f t="shared" si="11"/>
        <v>1514.7852658242259</v>
      </c>
    </row>
    <row r="229" spans="2:10">
      <c r="B229" s="12">
        <f t="shared" si="9"/>
        <v>46113</v>
      </c>
      <c r="C229" s="7">
        <v>46126</v>
      </c>
      <c r="D229" s="8">
        <v>8976</v>
      </c>
      <c r="E229" s="9">
        <v>8821.7379999999994</v>
      </c>
      <c r="F229" s="8">
        <v>7400</v>
      </c>
      <c r="G229" s="8">
        <v>10060</v>
      </c>
      <c r="H229" s="10">
        <f t="shared" si="10"/>
        <v>94199520.287999988</v>
      </c>
      <c r="I229" s="14">
        <f>VLOOKUP(C229,'Draw Data'!A:B,2,0)</f>
        <v>60118</v>
      </c>
      <c r="J229" s="10">
        <f t="shared" si="11"/>
        <v>1566.9104143185068</v>
      </c>
    </row>
    <row r="230" spans="2:10">
      <c r="B230" s="12">
        <f t="shared" si="9"/>
        <v>46113</v>
      </c>
      <c r="C230" s="7">
        <v>46127</v>
      </c>
      <c r="D230" s="8">
        <v>8342</v>
      </c>
      <c r="E230" s="9">
        <v>9534.6620000000003</v>
      </c>
      <c r="F230" s="8">
        <v>7300</v>
      </c>
      <c r="G230" s="8">
        <v>8100</v>
      </c>
      <c r="H230" s="10">
        <f t="shared" si="10"/>
        <v>92782150.403999999</v>
      </c>
      <c r="I230" s="14">
        <f>VLOOKUP(C230,'Draw Data'!A:B,2,0)</f>
        <v>57310</v>
      </c>
      <c r="J230" s="10">
        <f t="shared" si="11"/>
        <v>1618.9521968940849</v>
      </c>
    </row>
    <row r="231" spans="2:10">
      <c r="B231" s="12">
        <f t="shared" si="9"/>
        <v>46113</v>
      </c>
      <c r="C231" s="7">
        <v>46128</v>
      </c>
      <c r="D231" s="8">
        <v>7938</v>
      </c>
      <c r="E231" s="9">
        <v>9860.4830000000002</v>
      </c>
      <c r="F231" s="8">
        <v>7320</v>
      </c>
      <c r="G231" s="8">
        <v>6770</v>
      </c>
      <c r="H231" s="10">
        <f t="shared" si="10"/>
        <v>90389914.054000005</v>
      </c>
      <c r="I231" s="14">
        <f>VLOOKUP(C231,'Draw Data'!A:B,2,0)</f>
        <v>54815</v>
      </c>
      <c r="J231" s="10">
        <f t="shared" si="11"/>
        <v>1648.9996178783181</v>
      </c>
    </row>
    <row r="232" spans="2:10">
      <c r="B232" s="12">
        <f t="shared" si="9"/>
        <v>46113</v>
      </c>
      <c r="C232" s="7">
        <v>46129</v>
      </c>
      <c r="D232" s="8">
        <v>8043</v>
      </c>
      <c r="E232" s="9">
        <v>9778.2839999999997</v>
      </c>
      <c r="F232" s="8">
        <v>7170</v>
      </c>
      <c r="G232" s="8">
        <v>6900</v>
      </c>
      <c r="H232" s="10">
        <f t="shared" si="10"/>
        <v>90746938.211999997</v>
      </c>
      <c r="I232" s="14">
        <f>VLOOKUP(C232,'Draw Data'!A:B,2,0)</f>
        <v>56568</v>
      </c>
      <c r="J232" s="10">
        <f t="shared" si="11"/>
        <v>1604.2097689859991</v>
      </c>
    </row>
    <row r="233" spans="2:10">
      <c r="B233" s="12">
        <f t="shared" si="9"/>
        <v>46113</v>
      </c>
      <c r="C233" s="7">
        <v>46130</v>
      </c>
      <c r="D233" s="8">
        <v>8012</v>
      </c>
      <c r="E233" s="9">
        <v>9748.9120000000003</v>
      </c>
      <c r="F233" s="8">
        <v>7340</v>
      </c>
      <c r="G233" s="8">
        <v>10912</v>
      </c>
      <c r="H233" s="10">
        <f t="shared" si="10"/>
        <v>93805002.944000006</v>
      </c>
      <c r="I233" s="14">
        <f>VLOOKUP(C233,'Draw Data'!A:B,2,0)</f>
        <v>61859</v>
      </c>
      <c r="J233" s="10">
        <f t="shared" si="11"/>
        <v>1516.4325796407961</v>
      </c>
    </row>
    <row r="234" spans="2:10">
      <c r="B234" s="12">
        <f t="shared" si="9"/>
        <v>46113</v>
      </c>
      <c r="C234" s="7">
        <v>46131</v>
      </c>
      <c r="D234" s="8">
        <v>7848</v>
      </c>
      <c r="E234" s="9">
        <v>9972.1409999999996</v>
      </c>
      <c r="F234" s="8">
        <v>7330</v>
      </c>
      <c r="G234" s="8">
        <v>10958</v>
      </c>
      <c r="H234" s="10">
        <f t="shared" si="10"/>
        <v>93989042.568000004</v>
      </c>
      <c r="I234" s="14">
        <f>VLOOKUP(C234,'Draw Data'!A:B,2,0)</f>
        <v>61185</v>
      </c>
      <c r="J234" s="10">
        <f t="shared" si="11"/>
        <v>1536.1451755822507</v>
      </c>
    </row>
    <row r="235" spans="2:10">
      <c r="B235" s="12">
        <f t="shared" si="9"/>
        <v>46113</v>
      </c>
      <c r="C235" s="7">
        <v>46132</v>
      </c>
      <c r="D235" s="8">
        <v>7880</v>
      </c>
      <c r="E235" s="9">
        <v>9969.5319999999992</v>
      </c>
      <c r="F235" s="8">
        <v>7400</v>
      </c>
      <c r="G235" s="8">
        <v>8670</v>
      </c>
      <c r="H235" s="10">
        <f t="shared" si="10"/>
        <v>92380112.159999996</v>
      </c>
      <c r="I235" s="14">
        <f>VLOOKUP(C235,'Draw Data'!A:B,2,0)</f>
        <v>57289</v>
      </c>
      <c r="J235" s="10">
        <f t="shared" si="11"/>
        <v>1612.5279226378536</v>
      </c>
    </row>
    <row r="236" spans="2:10">
      <c r="B236" s="12">
        <f t="shared" si="9"/>
        <v>46113</v>
      </c>
      <c r="C236" s="7">
        <v>46133</v>
      </c>
      <c r="D236" s="8">
        <v>7823</v>
      </c>
      <c r="E236" s="9">
        <v>9981.9159999999993</v>
      </c>
      <c r="F236" s="8">
        <v>7190</v>
      </c>
      <c r="G236" s="8">
        <v>8340</v>
      </c>
      <c r="H236" s="10">
        <f t="shared" si="10"/>
        <v>91444328.868000001</v>
      </c>
      <c r="I236" s="14">
        <f>VLOOKUP(C236,'Draw Data'!A:B,2,0)</f>
        <v>57332</v>
      </c>
      <c r="J236" s="10">
        <f t="shared" si="11"/>
        <v>1594.996317379474</v>
      </c>
    </row>
    <row r="237" spans="2:10">
      <c r="B237" s="12">
        <f t="shared" si="9"/>
        <v>46113</v>
      </c>
      <c r="C237" s="7">
        <v>46134</v>
      </c>
      <c r="D237" s="8">
        <v>8177</v>
      </c>
      <c r="E237" s="9">
        <v>9695.9349999999995</v>
      </c>
      <c r="F237" s="8">
        <v>7420</v>
      </c>
      <c r="G237" s="8">
        <v>8720</v>
      </c>
      <c r="H237" s="10">
        <f t="shared" si="10"/>
        <v>93164060.49499999</v>
      </c>
      <c r="I237" s="14">
        <f>VLOOKUP(C237,'Draw Data'!A:B,2,0)</f>
        <v>58133</v>
      </c>
      <c r="J237" s="10">
        <f t="shared" si="11"/>
        <v>1602.6019729757622</v>
      </c>
    </row>
    <row r="238" spans="2:10">
      <c r="B238" s="12">
        <f t="shared" si="9"/>
        <v>46113</v>
      </c>
      <c r="C238" s="7">
        <v>46135</v>
      </c>
      <c r="D238" s="8">
        <v>8101</v>
      </c>
      <c r="E238" s="9">
        <v>9738.9220000000005</v>
      </c>
      <c r="F238" s="8">
        <v>7290</v>
      </c>
      <c r="G238" s="8">
        <v>8270</v>
      </c>
      <c r="H238" s="10">
        <f t="shared" si="10"/>
        <v>92276607.122000009</v>
      </c>
      <c r="I238" s="14">
        <f>VLOOKUP(C238,'Draw Data'!A:B,2,0)</f>
        <v>56703</v>
      </c>
      <c r="J238" s="10">
        <f t="shared" si="11"/>
        <v>1627.3672843059451</v>
      </c>
    </row>
    <row r="239" spans="2:10">
      <c r="B239" s="12">
        <f t="shared" si="9"/>
        <v>46113</v>
      </c>
      <c r="C239" s="7">
        <v>46136</v>
      </c>
      <c r="D239" s="8">
        <v>7914</v>
      </c>
      <c r="E239" s="9">
        <v>9797.7060000000001</v>
      </c>
      <c r="F239" s="8">
        <v>7360</v>
      </c>
      <c r="G239" s="8">
        <v>8610</v>
      </c>
      <c r="H239" s="10">
        <f t="shared" si="10"/>
        <v>91273245.283999994</v>
      </c>
      <c r="I239" s="14">
        <f>VLOOKUP(C239,'Draw Data'!A:B,2,0)</f>
        <v>58393</v>
      </c>
      <c r="J239" s="10">
        <f t="shared" si="11"/>
        <v>1563.085391810662</v>
      </c>
    </row>
    <row r="240" spans="2:10">
      <c r="B240" s="12">
        <f t="shared" si="9"/>
        <v>46113</v>
      </c>
      <c r="C240" s="7">
        <v>46137</v>
      </c>
      <c r="D240" s="8">
        <v>7901</v>
      </c>
      <c r="E240" s="9">
        <v>9777.81</v>
      </c>
      <c r="F240" s="8">
        <v>7330</v>
      </c>
      <c r="G240" s="8">
        <v>8910</v>
      </c>
      <c r="H240" s="10">
        <f t="shared" si="10"/>
        <v>91220876.810000002</v>
      </c>
      <c r="I240" s="14">
        <f>VLOOKUP(C240,'Draw Data'!A:B,2,0)</f>
        <v>58128</v>
      </c>
      <c r="J240" s="10">
        <f t="shared" si="11"/>
        <v>1569.3104323217726</v>
      </c>
    </row>
    <row r="241" spans="2:10">
      <c r="B241" s="12">
        <f t="shared" si="9"/>
        <v>46113</v>
      </c>
      <c r="C241" s="7">
        <v>46138</v>
      </c>
      <c r="D241" s="8">
        <v>7321</v>
      </c>
      <c r="E241" s="9">
        <v>10194.349</v>
      </c>
      <c r="F241" s="8">
        <v>7270</v>
      </c>
      <c r="G241" s="8">
        <v>6370</v>
      </c>
      <c r="H241" s="10">
        <f t="shared" si="10"/>
        <v>86363229.028999999</v>
      </c>
      <c r="I241" s="14">
        <f>VLOOKUP(C241,'Draw Data'!A:B,2,0)</f>
        <v>50893</v>
      </c>
      <c r="J241" s="10">
        <f t="shared" si="11"/>
        <v>1696.9569298135302</v>
      </c>
    </row>
    <row r="242" spans="2:10">
      <c r="B242" s="12">
        <f t="shared" si="9"/>
        <v>46113</v>
      </c>
      <c r="C242" s="7">
        <v>46139</v>
      </c>
      <c r="D242" s="8">
        <v>7477</v>
      </c>
      <c r="E242" s="9">
        <v>10098.392</v>
      </c>
      <c r="F242" s="8">
        <v>7390</v>
      </c>
      <c r="G242" s="8">
        <v>6160</v>
      </c>
      <c r="H242" s="10">
        <f t="shared" si="10"/>
        <v>87158676.983999997</v>
      </c>
      <c r="I242" s="14">
        <f>VLOOKUP(C242,'Draw Data'!A:B,2,0)</f>
        <v>53069</v>
      </c>
      <c r="J242" s="10">
        <f t="shared" si="11"/>
        <v>1642.3651658030112</v>
      </c>
    </row>
    <row r="243" spans="2:10">
      <c r="B243" s="12">
        <f t="shared" si="9"/>
        <v>46113</v>
      </c>
      <c r="C243" s="7">
        <v>46140</v>
      </c>
      <c r="D243" s="8">
        <v>7567</v>
      </c>
      <c r="E243" s="9">
        <v>10115.852000000001</v>
      </c>
      <c r="F243" s="8">
        <v>7290</v>
      </c>
      <c r="G243" s="8">
        <v>7830</v>
      </c>
      <c r="H243" s="10">
        <f t="shared" si="10"/>
        <v>89549852.084000006</v>
      </c>
      <c r="I243" s="14">
        <f>VLOOKUP(C243,'Draw Data'!A:B,2,0)</f>
        <v>56031</v>
      </c>
      <c r="J243" s="10">
        <f t="shared" si="11"/>
        <v>1598.219772697257</v>
      </c>
    </row>
    <row r="244" spans="2:10">
      <c r="B244" s="12">
        <f t="shared" si="9"/>
        <v>46113</v>
      </c>
      <c r="C244" s="7">
        <v>46141</v>
      </c>
      <c r="D244" s="8">
        <v>7387</v>
      </c>
      <c r="E244" s="9">
        <v>10236.296</v>
      </c>
      <c r="F244" s="8">
        <v>7220</v>
      </c>
      <c r="G244" s="8">
        <v>8480</v>
      </c>
      <c r="H244" s="10">
        <f t="shared" si="10"/>
        <v>89117518.552000001</v>
      </c>
      <c r="I244" s="14">
        <f>VLOOKUP(C244,'Draw Data'!A:B,2,0)</f>
        <v>54811</v>
      </c>
      <c r="J244" s="10">
        <f t="shared" si="11"/>
        <v>1625.9057224279798</v>
      </c>
    </row>
    <row r="245" spans="2:10">
      <c r="B245" s="12">
        <f t="shared" si="9"/>
        <v>46113</v>
      </c>
      <c r="C245" s="7">
        <v>46142</v>
      </c>
      <c r="D245" s="8">
        <v>7591</v>
      </c>
      <c r="E245" s="9">
        <v>10136.824000000001</v>
      </c>
      <c r="F245" s="8">
        <v>7320</v>
      </c>
      <c r="G245" s="8">
        <v>8220</v>
      </c>
      <c r="H245" s="10">
        <f t="shared" si="10"/>
        <v>90313030.983999997</v>
      </c>
      <c r="I245" s="14">
        <f>VLOOKUP(C245,'Draw Data'!A:B,2,0)</f>
        <v>55468</v>
      </c>
      <c r="J245" s="10">
        <f t="shared" si="11"/>
        <v>1628.2006018605321</v>
      </c>
    </row>
    <row r="246" spans="2:10">
      <c r="B246" s="12">
        <f t="shared" si="9"/>
        <v>46143</v>
      </c>
      <c r="C246" s="7">
        <v>46143</v>
      </c>
      <c r="D246" s="8">
        <v>7938</v>
      </c>
      <c r="E246" s="9">
        <v>10318.253000000001</v>
      </c>
      <c r="F246" s="8">
        <v>7370</v>
      </c>
      <c r="G246" s="8">
        <v>6720</v>
      </c>
      <c r="H246" s="10">
        <f t="shared" si="10"/>
        <v>94023692.31400001</v>
      </c>
      <c r="I246" s="14">
        <f>VLOOKUP(C246,'Draw Data'!A:B,2,0)</f>
        <v>53744</v>
      </c>
      <c r="J246" s="10">
        <f t="shared" si="11"/>
        <v>1749.4732865808278</v>
      </c>
    </row>
    <row r="247" spans="2:10">
      <c r="B247" s="12">
        <f t="shared" si="9"/>
        <v>46143</v>
      </c>
      <c r="C247" s="7">
        <v>46144</v>
      </c>
      <c r="D247" s="8">
        <v>7825</v>
      </c>
      <c r="E247" s="9">
        <v>9715.9249999999993</v>
      </c>
      <c r="F247" s="8">
        <v>7300</v>
      </c>
      <c r="G247" s="8">
        <v>7000</v>
      </c>
      <c r="H247" s="10">
        <f t="shared" si="10"/>
        <v>88325113.125</v>
      </c>
      <c r="I247" s="14">
        <f>VLOOKUP(C247,'Draw Data'!A:B,2,0)</f>
        <v>52725</v>
      </c>
      <c r="J247" s="10">
        <f t="shared" si="11"/>
        <v>1675.2036628733997</v>
      </c>
    </row>
    <row r="248" spans="2:10">
      <c r="B248" s="12">
        <f t="shared" si="9"/>
        <v>46143</v>
      </c>
      <c r="C248" s="7">
        <v>46145</v>
      </c>
      <c r="D248" s="8">
        <v>7443</v>
      </c>
      <c r="E248" s="9">
        <v>10249.361999999999</v>
      </c>
      <c r="F248" s="8">
        <v>7330</v>
      </c>
      <c r="G248" s="8">
        <v>5500</v>
      </c>
      <c r="H248" s="10">
        <f t="shared" si="10"/>
        <v>87319801.365999997</v>
      </c>
      <c r="I248" s="14">
        <f>VLOOKUP(C248,'Draw Data'!A:B,2,0)</f>
        <v>52042</v>
      </c>
      <c r="J248" s="10">
        <f t="shared" si="11"/>
        <v>1677.8717452442258</v>
      </c>
    </row>
    <row r="249" spans="2:10">
      <c r="B249" s="12">
        <f t="shared" si="9"/>
        <v>46143</v>
      </c>
      <c r="C249" s="7">
        <v>46146</v>
      </c>
      <c r="D249" s="8">
        <v>7450</v>
      </c>
      <c r="E249" s="9">
        <v>10298.74</v>
      </c>
      <c r="F249" s="8">
        <v>7350</v>
      </c>
      <c r="G249" s="8">
        <v>5210</v>
      </c>
      <c r="H249" s="10">
        <f t="shared" si="10"/>
        <v>87527213</v>
      </c>
      <c r="I249" s="14">
        <f>VLOOKUP(C249,'Draw Data'!A:B,2,0)</f>
        <v>52761</v>
      </c>
      <c r="J249" s="10">
        <f t="shared" si="11"/>
        <v>1658.9377191486135</v>
      </c>
    </row>
    <row r="250" spans="2:10">
      <c r="B250" s="12">
        <f t="shared" si="9"/>
        <v>46143</v>
      </c>
      <c r="C250" s="7">
        <v>46147</v>
      </c>
      <c r="D250" s="8">
        <v>7522</v>
      </c>
      <c r="E250" s="9">
        <v>10213.421</v>
      </c>
      <c r="F250" s="8">
        <v>7170</v>
      </c>
      <c r="G250" s="8">
        <v>8590</v>
      </c>
      <c r="H250" s="10">
        <f t="shared" si="10"/>
        <v>90378952.762000009</v>
      </c>
      <c r="I250" s="14">
        <f>VLOOKUP(C250,'Draw Data'!A:B,2,0)</f>
        <v>58990</v>
      </c>
      <c r="J250" s="10">
        <f t="shared" si="11"/>
        <v>1532.1063360230548</v>
      </c>
    </row>
    <row r="251" spans="2:10">
      <c r="B251" s="12">
        <f t="shared" si="9"/>
        <v>46143</v>
      </c>
      <c r="C251" s="7">
        <v>46148</v>
      </c>
      <c r="D251" s="8">
        <v>7441</v>
      </c>
      <c r="E251" s="9">
        <v>10285.834999999999</v>
      </c>
      <c r="F251" s="8">
        <v>7330</v>
      </c>
      <c r="G251" s="8">
        <v>7740</v>
      </c>
      <c r="H251" s="10">
        <f t="shared" si="10"/>
        <v>89497098.234999999</v>
      </c>
      <c r="I251" s="14">
        <f>VLOOKUP(C251,'Draw Data'!A:B,2,0)</f>
        <v>56583</v>
      </c>
      <c r="J251" s="10">
        <f t="shared" si="11"/>
        <v>1581.6958845412933</v>
      </c>
    </row>
    <row r="252" spans="2:10">
      <c r="B252" s="12">
        <f t="shared" si="9"/>
        <v>46143</v>
      </c>
      <c r="C252" s="7">
        <v>46149</v>
      </c>
      <c r="D252" s="8">
        <v>7453</v>
      </c>
      <c r="E252" s="9">
        <v>10283.31</v>
      </c>
      <c r="F252" s="8">
        <v>7340</v>
      </c>
      <c r="G252" s="8">
        <v>8730</v>
      </c>
      <c r="H252" s="10">
        <f t="shared" si="10"/>
        <v>90461709.429999992</v>
      </c>
      <c r="I252" s="14">
        <f>VLOOKUP(C252,'Draw Data'!A:B,2,0)</f>
        <v>58009</v>
      </c>
      <c r="J252" s="10">
        <f t="shared" si="11"/>
        <v>1559.4426628626591</v>
      </c>
    </row>
    <row r="253" spans="2:10">
      <c r="B253" s="12">
        <f t="shared" si="9"/>
        <v>46143</v>
      </c>
      <c r="C253" s="7">
        <v>46150</v>
      </c>
      <c r="D253" s="8">
        <v>7508</v>
      </c>
      <c r="E253" s="9">
        <v>10260.550999999999</v>
      </c>
      <c r="F253" s="8">
        <v>7310</v>
      </c>
      <c r="G253" s="8">
        <v>9530</v>
      </c>
      <c r="H253" s="10">
        <f t="shared" si="10"/>
        <v>91518616.907999992</v>
      </c>
      <c r="I253" s="14">
        <f>VLOOKUP(C253,'Draw Data'!A:B,2,0)</f>
        <v>60134</v>
      </c>
      <c r="J253" s="10">
        <f t="shared" si="11"/>
        <v>1521.9113464595735</v>
      </c>
    </row>
    <row r="254" spans="2:10">
      <c r="B254" s="12">
        <f t="shared" si="9"/>
        <v>46143</v>
      </c>
      <c r="C254" s="7">
        <v>46151</v>
      </c>
      <c r="D254" s="8">
        <v>7570</v>
      </c>
      <c r="E254" s="9">
        <v>10204.629000000001</v>
      </c>
      <c r="F254" s="8">
        <v>7340</v>
      </c>
      <c r="G254" s="8">
        <v>9510</v>
      </c>
      <c r="H254" s="10">
        <f t="shared" si="10"/>
        <v>91740041.530000001</v>
      </c>
      <c r="I254" s="14">
        <f>VLOOKUP(C254,'Draw Data'!A:B,2,0)</f>
        <v>60247</v>
      </c>
      <c r="J254" s="10">
        <f t="shared" si="11"/>
        <v>1522.7321116404137</v>
      </c>
    </row>
    <row r="255" spans="2:10">
      <c r="B255" s="12">
        <f t="shared" si="9"/>
        <v>46143</v>
      </c>
      <c r="C255" s="7">
        <v>46152</v>
      </c>
      <c r="D255" s="8">
        <v>7553</v>
      </c>
      <c r="E255" s="9">
        <v>10264.701999999999</v>
      </c>
      <c r="F255" s="8">
        <v>7320</v>
      </c>
      <c r="G255" s="8">
        <v>9660</v>
      </c>
      <c r="H255" s="10">
        <f t="shared" si="10"/>
        <v>92132094.206</v>
      </c>
      <c r="I255" s="14">
        <f>VLOOKUP(C255,'Draw Data'!A:B,2,0)</f>
        <v>60114</v>
      </c>
      <c r="J255" s="10">
        <f t="shared" si="11"/>
        <v>1532.6229198855508</v>
      </c>
    </row>
    <row r="256" spans="2:10">
      <c r="B256" s="12">
        <f t="shared" si="9"/>
        <v>46143</v>
      </c>
      <c r="C256" s="7">
        <v>46153</v>
      </c>
      <c r="D256" s="8">
        <v>7738</v>
      </c>
      <c r="E256" s="9">
        <v>10097.857</v>
      </c>
      <c r="F256" s="8">
        <v>7330</v>
      </c>
      <c r="G256" s="8">
        <v>9940</v>
      </c>
      <c r="H256" s="10">
        <f t="shared" si="10"/>
        <v>92989417.466000006</v>
      </c>
      <c r="I256" s="14">
        <f>VLOOKUP(C256,'Draw Data'!A:B,2,0)</f>
        <v>61198</v>
      </c>
      <c r="J256" s="10">
        <f t="shared" si="11"/>
        <v>1519.4845822739305</v>
      </c>
    </row>
    <row r="257" spans="2:10">
      <c r="B257" s="12">
        <f t="shared" si="9"/>
        <v>46143</v>
      </c>
      <c r="C257" s="7">
        <v>46154</v>
      </c>
      <c r="D257" s="8">
        <v>7700</v>
      </c>
      <c r="E257" s="9">
        <v>10118.089</v>
      </c>
      <c r="F257" s="8">
        <v>7340</v>
      </c>
      <c r="G257" s="8">
        <v>10440</v>
      </c>
      <c r="H257" s="10">
        <f t="shared" si="10"/>
        <v>93200085.299999997</v>
      </c>
      <c r="I257" s="14">
        <f>VLOOKUP(C257,'Draw Data'!A:B,2,0)</f>
        <v>61898</v>
      </c>
      <c r="J257" s="10">
        <f t="shared" si="11"/>
        <v>1505.7043087014119</v>
      </c>
    </row>
    <row r="258" spans="2:10">
      <c r="B258" s="12">
        <f t="shared" si="9"/>
        <v>46143</v>
      </c>
      <c r="C258" s="7">
        <v>46155</v>
      </c>
      <c r="D258" s="8">
        <v>7620</v>
      </c>
      <c r="E258" s="9">
        <v>10216.306</v>
      </c>
      <c r="F258" s="8">
        <v>7330</v>
      </c>
      <c r="G258" s="8">
        <v>10590</v>
      </c>
      <c r="H258" s="10">
        <f t="shared" si="10"/>
        <v>93259451.719999999</v>
      </c>
      <c r="I258" s="14">
        <f>VLOOKUP(C258,'Draw Data'!A:B,2,0)</f>
        <v>61667</v>
      </c>
      <c r="J258" s="10">
        <f t="shared" si="11"/>
        <v>1512.3072586634667</v>
      </c>
    </row>
    <row r="259" spans="2:10">
      <c r="B259" s="12">
        <f t="shared" si="9"/>
        <v>46143</v>
      </c>
      <c r="C259" s="7">
        <v>46156</v>
      </c>
      <c r="D259" s="8">
        <v>7788</v>
      </c>
      <c r="E259" s="9">
        <v>10003.258</v>
      </c>
      <c r="F259" s="8">
        <v>7350</v>
      </c>
      <c r="G259" s="8">
        <v>10960</v>
      </c>
      <c r="H259" s="10">
        <f t="shared" si="10"/>
        <v>93651973.304000005</v>
      </c>
      <c r="I259" s="14">
        <f>VLOOKUP(C259,'Draw Data'!A:B,2,0)</f>
        <v>61200</v>
      </c>
      <c r="J259" s="10">
        <f t="shared" si="11"/>
        <v>1530.2610016993465</v>
      </c>
    </row>
    <row r="260" spans="2:10">
      <c r="B260" s="12">
        <f t="shared" si="9"/>
        <v>46143</v>
      </c>
      <c r="C260" s="7">
        <v>46157</v>
      </c>
      <c r="D260" s="8">
        <v>7602</v>
      </c>
      <c r="E260" s="9">
        <v>10265.188</v>
      </c>
      <c r="F260" s="8">
        <v>7320</v>
      </c>
      <c r="G260" s="8">
        <v>10850</v>
      </c>
      <c r="H260" s="10">
        <f t="shared" si="10"/>
        <v>93662159.175999999</v>
      </c>
      <c r="I260" s="14">
        <f>VLOOKUP(C260,'Draw Data'!A:B,2,0)</f>
        <v>61209</v>
      </c>
      <c r="J260" s="10">
        <f t="shared" si="11"/>
        <v>1530.2024077504941</v>
      </c>
    </row>
    <row r="261" spans="2:10">
      <c r="B261" s="12">
        <f t="shared" ref="B261:B324" si="12">DATE(YEAR(C261),MONTH(C261),1)</f>
        <v>46143</v>
      </c>
      <c r="C261" s="7">
        <v>46158</v>
      </c>
      <c r="D261" s="8">
        <v>7626</v>
      </c>
      <c r="E261" s="9">
        <v>10292.575000000001</v>
      </c>
      <c r="F261" s="8">
        <v>7370</v>
      </c>
      <c r="G261" s="8">
        <v>9870</v>
      </c>
      <c r="H261" s="10">
        <f t="shared" ref="H261:H324" si="13">((D261 *(E261))+ ((F261+G261)*860))</f>
        <v>93317576.950000003</v>
      </c>
      <c r="I261" s="14">
        <f>VLOOKUP(C261,'Draw Data'!A:B,2,0)</f>
        <v>60136</v>
      </c>
      <c r="J261" s="10">
        <f t="shared" ref="J261:J324" si="14">H261/I261</f>
        <v>1551.7755911600373</v>
      </c>
    </row>
    <row r="262" spans="2:10">
      <c r="B262" s="12">
        <f t="shared" si="12"/>
        <v>46143</v>
      </c>
      <c r="C262" s="7">
        <v>46159</v>
      </c>
      <c r="D262" s="8">
        <v>7536</v>
      </c>
      <c r="E262" s="9">
        <v>10430.813</v>
      </c>
      <c r="F262" s="8">
        <v>7220</v>
      </c>
      <c r="G262" s="8">
        <v>8510</v>
      </c>
      <c r="H262" s="10">
        <f t="shared" si="13"/>
        <v>92134406.768000007</v>
      </c>
      <c r="I262" s="14">
        <f>VLOOKUP(C262,'Draw Data'!A:B,2,0)</f>
        <v>59620</v>
      </c>
      <c r="J262" s="10">
        <f t="shared" si="14"/>
        <v>1545.3607307614895</v>
      </c>
    </row>
    <row r="263" spans="2:10">
      <c r="B263" s="12">
        <f t="shared" si="12"/>
        <v>46143</v>
      </c>
      <c r="C263" s="7">
        <v>46160</v>
      </c>
      <c r="D263" s="8">
        <v>7771</v>
      </c>
      <c r="E263" s="9">
        <v>10202.598</v>
      </c>
      <c r="F263" s="8">
        <v>7330</v>
      </c>
      <c r="G263" s="8">
        <v>9180</v>
      </c>
      <c r="H263" s="10">
        <f t="shared" si="13"/>
        <v>93482989.057999998</v>
      </c>
      <c r="I263" s="14">
        <f>VLOOKUP(C263,'Draw Data'!A:B,2,0)</f>
        <v>61239</v>
      </c>
      <c r="J263" s="10">
        <f t="shared" si="14"/>
        <v>1526.5270343735201</v>
      </c>
    </row>
    <row r="264" spans="2:10">
      <c r="B264" s="12">
        <f t="shared" si="12"/>
        <v>46143</v>
      </c>
      <c r="C264" s="7">
        <v>46161</v>
      </c>
      <c r="D264" s="8">
        <v>7590</v>
      </c>
      <c r="E264" s="9">
        <v>10418.030000000001</v>
      </c>
      <c r="F264" s="8">
        <v>7320</v>
      </c>
      <c r="G264" s="8">
        <v>7980</v>
      </c>
      <c r="H264" s="10">
        <f t="shared" si="13"/>
        <v>92230847.700000003</v>
      </c>
      <c r="I264" s="14">
        <f>VLOOKUP(C264,'Draw Data'!A:B,2,0)</f>
        <v>57836</v>
      </c>
      <c r="J264" s="10">
        <f t="shared" si="14"/>
        <v>1594.6961702054084</v>
      </c>
    </row>
    <row r="265" spans="2:10">
      <c r="B265" s="12">
        <f t="shared" si="12"/>
        <v>46143</v>
      </c>
      <c r="C265" s="7">
        <v>46162</v>
      </c>
      <c r="D265" s="8">
        <v>7513</v>
      </c>
      <c r="E265" s="9">
        <v>10377.645</v>
      </c>
      <c r="F265" s="8">
        <v>7340</v>
      </c>
      <c r="G265" s="8">
        <v>9070</v>
      </c>
      <c r="H265" s="10">
        <f t="shared" si="13"/>
        <v>92079846.885000005</v>
      </c>
      <c r="I265" s="14">
        <f>VLOOKUP(C265,'Draw Data'!A:B,2,0)</f>
        <v>59169</v>
      </c>
      <c r="J265" s="10">
        <f t="shared" si="14"/>
        <v>1556.217730314861</v>
      </c>
    </row>
    <row r="266" spans="2:10">
      <c r="B266" s="12">
        <f t="shared" si="12"/>
        <v>46143</v>
      </c>
      <c r="C266" s="7">
        <v>46163</v>
      </c>
      <c r="D266" s="8">
        <v>7616</v>
      </c>
      <c r="E266" s="9">
        <v>10306.317999999999</v>
      </c>
      <c r="F266" s="8">
        <v>7400</v>
      </c>
      <c r="G266" s="8">
        <v>8720</v>
      </c>
      <c r="H266" s="10">
        <f t="shared" si="13"/>
        <v>92356117.887999997</v>
      </c>
      <c r="I266" s="14">
        <f>VLOOKUP(C266,'Draw Data'!A:B,2,0)</f>
        <v>60393</v>
      </c>
      <c r="J266" s="10">
        <f t="shared" si="14"/>
        <v>1529.2520306658055</v>
      </c>
    </row>
    <row r="267" spans="2:10">
      <c r="B267" s="12">
        <f t="shared" si="12"/>
        <v>46143</v>
      </c>
      <c r="C267" s="7">
        <v>46164</v>
      </c>
      <c r="D267" s="8">
        <v>7640</v>
      </c>
      <c r="E267" s="9">
        <v>10243.084000000001</v>
      </c>
      <c r="F267" s="8">
        <v>7300</v>
      </c>
      <c r="G267" s="8">
        <v>8670</v>
      </c>
      <c r="H267" s="10">
        <f t="shared" si="13"/>
        <v>91991361.760000005</v>
      </c>
      <c r="I267" s="14">
        <f>VLOOKUP(C267,'Draw Data'!A:B,2,0)</f>
        <v>58783</v>
      </c>
      <c r="J267" s="10">
        <f t="shared" si="14"/>
        <v>1564.9313876460883</v>
      </c>
    </row>
    <row r="268" spans="2:10">
      <c r="B268" s="12">
        <f t="shared" si="12"/>
        <v>46143</v>
      </c>
      <c r="C268" s="7">
        <v>46165</v>
      </c>
      <c r="D268" s="8">
        <v>7540</v>
      </c>
      <c r="E268" s="9">
        <v>10212.043</v>
      </c>
      <c r="F268" s="8">
        <v>7350</v>
      </c>
      <c r="G268" s="8">
        <v>9920</v>
      </c>
      <c r="H268" s="10">
        <f t="shared" si="13"/>
        <v>91851004.219999999</v>
      </c>
      <c r="I268" s="14">
        <f>VLOOKUP(C268,'Draw Data'!A:B,2,0)</f>
        <v>60617</v>
      </c>
      <c r="J268" s="10">
        <f t="shared" si="14"/>
        <v>1515.2680637444942</v>
      </c>
    </row>
    <row r="269" spans="2:10">
      <c r="B269" s="12">
        <f t="shared" si="12"/>
        <v>46143</v>
      </c>
      <c r="C269" s="7">
        <v>46166</v>
      </c>
      <c r="D269" s="8">
        <v>7563</v>
      </c>
      <c r="E269" s="9">
        <v>10162.880999999999</v>
      </c>
      <c r="F269" s="8">
        <v>7330</v>
      </c>
      <c r="G269" s="8">
        <v>10100</v>
      </c>
      <c r="H269" s="10">
        <f t="shared" si="13"/>
        <v>91851669.002999991</v>
      </c>
      <c r="I269" s="14">
        <f>VLOOKUP(C269,'Draw Data'!A:B,2,0)</f>
        <v>59490</v>
      </c>
      <c r="J269" s="10">
        <f t="shared" si="14"/>
        <v>1543.985022743318</v>
      </c>
    </row>
    <row r="270" spans="2:10">
      <c r="B270" s="12">
        <f t="shared" si="12"/>
        <v>46143</v>
      </c>
      <c r="C270" s="7">
        <v>46167</v>
      </c>
      <c r="D270" s="8">
        <v>7795</v>
      </c>
      <c r="E270" s="9">
        <v>9948.56</v>
      </c>
      <c r="F270" s="8">
        <v>7260</v>
      </c>
      <c r="G270" s="8">
        <v>10310</v>
      </c>
      <c r="H270" s="10">
        <f t="shared" si="13"/>
        <v>92659225.200000003</v>
      </c>
      <c r="I270" s="14">
        <f>VLOOKUP(C270,'Draw Data'!A:B,2,0)</f>
        <v>60934</v>
      </c>
      <c r="J270" s="10">
        <f t="shared" si="14"/>
        <v>1520.6489841467819</v>
      </c>
    </row>
    <row r="271" spans="2:10">
      <c r="B271" s="12">
        <f t="shared" si="12"/>
        <v>46143</v>
      </c>
      <c r="C271" s="7">
        <v>46168</v>
      </c>
      <c r="D271" s="8">
        <v>7897</v>
      </c>
      <c r="E271" s="9">
        <v>10042.271000000001</v>
      </c>
      <c r="F271" s="8">
        <v>7380</v>
      </c>
      <c r="G271" s="8">
        <v>10580</v>
      </c>
      <c r="H271" s="10">
        <f t="shared" si="13"/>
        <v>94749414.087000012</v>
      </c>
      <c r="I271" s="14">
        <f>VLOOKUP(C271,'Draw Data'!A:B,2,0)</f>
        <v>61684</v>
      </c>
      <c r="J271" s="10">
        <f t="shared" si="14"/>
        <v>1536.0452319402116</v>
      </c>
    </row>
    <row r="272" spans="2:10">
      <c r="B272" s="12">
        <f t="shared" si="12"/>
        <v>46143</v>
      </c>
      <c r="C272" s="7">
        <v>46169</v>
      </c>
      <c r="D272" s="8">
        <v>7734</v>
      </c>
      <c r="E272" s="9">
        <v>10045.431</v>
      </c>
      <c r="F272" s="8">
        <v>7280</v>
      </c>
      <c r="G272" s="8">
        <v>10270</v>
      </c>
      <c r="H272" s="10">
        <f t="shared" si="13"/>
        <v>92784363.354000002</v>
      </c>
      <c r="I272" s="14">
        <f>VLOOKUP(C272,'Draw Data'!A:B,2,0)</f>
        <v>61254</v>
      </c>
      <c r="J272" s="10">
        <f t="shared" si="14"/>
        <v>1514.7478263297091</v>
      </c>
    </row>
    <row r="273" spans="2:10">
      <c r="B273" s="12">
        <f t="shared" si="12"/>
        <v>46143</v>
      </c>
      <c r="C273" s="7">
        <v>46170</v>
      </c>
      <c r="D273" s="8">
        <v>7718</v>
      </c>
      <c r="E273" s="9">
        <v>9989.518</v>
      </c>
      <c r="F273" s="8">
        <v>7340</v>
      </c>
      <c r="G273" s="8">
        <v>10750</v>
      </c>
      <c r="H273" s="10">
        <f t="shared" si="13"/>
        <v>92656499.923999995</v>
      </c>
      <c r="I273" s="14">
        <f>VLOOKUP(C273,'Draw Data'!A:B,2,0)</f>
        <v>59934</v>
      </c>
      <c r="J273" s="10">
        <f t="shared" si="14"/>
        <v>1545.9755718623819</v>
      </c>
    </row>
    <row r="274" spans="2:10">
      <c r="B274" s="12">
        <f t="shared" si="12"/>
        <v>46143</v>
      </c>
      <c r="C274" s="7">
        <v>46171</v>
      </c>
      <c r="D274" s="8">
        <v>7517</v>
      </c>
      <c r="E274" s="9">
        <v>10159.321</v>
      </c>
      <c r="F274" s="8">
        <v>7370</v>
      </c>
      <c r="G274" s="8">
        <v>10670</v>
      </c>
      <c r="H274" s="10">
        <f t="shared" si="13"/>
        <v>91882015.957000002</v>
      </c>
      <c r="I274" s="14">
        <f>VLOOKUP(C274,'Draw Data'!A:B,2,0)</f>
        <v>59526</v>
      </c>
      <c r="J274" s="10">
        <f t="shared" si="14"/>
        <v>1543.561065030407</v>
      </c>
    </row>
    <row r="275" spans="2:10">
      <c r="B275" s="12">
        <f t="shared" si="12"/>
        <v>46143</v>
      </c>
      <c r="C275" s="7">
        <v>46172</v>
      </c>
      <c r="D275" s="8">
        <v>7357</v>
      </c>
      <c r="E275" s="9">
        <v>10219.540000000001</v>
      </c>
      <c r="F275" s="8">
        <v>7030</v>
      </c>
      <c r="G275" s="8">
        <v>9910</v>
      </c>
      <c r="H275" s="10">
        <f t="shared" si="13"/>
        <v>89753555.780000001</v>
      </c>
      <c r="I275" s="14">
        <f>VLOOKUP(C275,'Draw Data'!A:B,2,0)</f>
        <v>57549</v>
      </c>
      <c r="J275" s="10">
        <f t="shared" si="14"/>
        <v>1559.6023524301031</v>
      </c>
    </row>
    <row r="276" spans="2:10">
      <c r="B276" s="12">
        <f t="shared" si="12"/>
        <v>46143</v>
      </c>
      <c r="C276" s="7">
        <v>46173</v>
      </c>
      <c r="D276" s="8">
        <v>7565</v>
      </c>
      <c r="E276" s="9">
        <v>10106.688</v>
      </c>
      <c r="F276" s="8">
        <v>7380</v>
      </c>
      <c r="G276" s="8">
        <v>9100</v>
      </c>
      <c r="H276" s="10">
        <f t="shared" si="13"/>
        <v>90629894.719999999</v>
      </c>
      <c r="I276" s="14">
        <f>VLOOKUP(C276,'Draw Data'!A:B,2,0)</f>
        <v>57230</v>
      </c>
      <c r="J276" s="10">
        <f t="shared" si="14"/>
        <v>1583.6081551633758</v>
      </c>
    </row>
    <row r="277" spans="2:10">
      <c r="B277" s="12">
        <f t="shared" si="12"/>
        <v>46174</v>
      </c>
      <c r="C277" s="7">
        <v>46174</v>
      </c>
      <c r="D277" s="8">
        <v>8064</v>
      </c>
      <c r="E277" s="9">
        <v>9522.9570000000003</v>
      </c>
      <c r="F277" s="8">
        <v>7370</v>
      </c>
      <c r="G277" s="8">
        <v>9000</v>
      </c>
      <c r="H277" s="10">
        <f t="shared" si="13"/>
        <v>90871325.247999996</v>
      </c>
      <c r="I277" s="14">
        <f>VLOOKUP(C277,'Draw Data'!A:B,2,0)</f>
        <v>57929</v>
      </c>
      <c r="J277" s="10">
        <f t="shared" si="14"/>
        <v>1568.6672521189732</v>
      </c>
    </row>
    <row r="278" spans="2:10">
      <c r="B278" s="12">
        <f t="shared" si="12"/>
        <v>46174</v>
      </c>
      <c r="C278" s="7">
        <v>46175</v>
      </c>
      <c r="D278" s="8">
        <v>8197</v>
      </c>
      <c r="E278" s="9">
        <v>9506.9380000000001</v>
      </c>
      <c r="F278" s="8">
        <v>7280</v>
      </c>
      <c r="G278" s="8">
        <v>9260</v>
      </c>
      <c r="H278" s="10">
        <f t="shared" si="13"/>
        <v>92152770.785999998</v>
      </c>
      <c r="I278" s="14">
        <f>VLOOKUP(C278,'Draw Data'!A:B,2,0)</f>
        <v>58346</v>
      </c>
      <c r="J278" s="10">
        <f t="shared" si="14"/>
        <v>1579.4188253864875</v>
      </c>
    </row>
    <row r="279" spans="2:10">
      <c r="B279" s="12">
        <f t="shared" si="12"/>
        <v>46174</v>
      </c>
      <c r="C279" s="7">
        <v>46176</v>
      </c>
      <c r="D279" s="8">
        <v>7801</v>
      </c>
      <c r="E279" s="9">
        <v>9955.8169999999991</v>
      </c>
      <c r="F279" s="8">
        <v>7350</v>
      </c>
      <c r="G279" s="8">
        <v>9230</v>
      </c>
      <c r="H279" s="10">
        <f t="shared" si="13"/>
        <v>91924128.416999996</v>
      </c>
      <c r="I279" s="14">
        <f>VLOOKUP(C279,'Draw Data'!A:B,2,0)</f>
        <v>57807</v>
      </c>
      <c r="J279" s="10">
        <f t="shared" si="14"/>
        <v>1590.1902609891536</v>
      </c>
    </row>
    <row r="280" spans="2:10">
      <c r="B280" s="12">
        <f t="shared" si="12"/>
        <v>46174</v>
      </c>
      <c r="C280" s="7">
        <v>46177</v>
      </c>
      <c r="D280" s="8">
        <v>7606</v>
      </c>
      <c r="E280" s="9">
        <v>10136.691999999999</v>
      </c>
      <c r="F280" s="8">
        <v>7280</v>
      </c>
      <c r="G280" s="8">
        <v>7700</v>
      </c>
      <c r="H280" s="10">
        <f t="shared" si="13"/>
        <v>89982479.351999998</v>
      </c>
      <c r="I280" s="14">
        <f>VLOOKUP(C280,'Draw Data'!A:B,2,0)</f>
        <v>55536</v>
      </c>
      <c r="J280" s="10">
        <f t="shared" si="14"/>
        <v>1620.2549580812445</v>
      </c>
    </row>
    <row r="281" spans="2:10">
      <c r="B281" s="12">
        <f t="shared" si="12"/>
        <v>46174</v>
      </c>
      <c r="C281" s="7">
        <v>46178</v>
      </c>
      <c r="D281" s="8">
        <v>7663</v>
      </c>
      <c r="E281" s="9">
        <v>10219.575000000001</v>
      </c>
      <c r="F281" s="8">
        <v>7350</v>
      </c>
      <c r="G281" s="8">
        <v>7270</v>
      </c>
      <c r="H281" s="10">
        <f t="shared" si="13"/>
        <v>90885803.225000009</v>
      </c>
      <c r="I281" s="14">
        <f>VLOOKUP(C281,'Draw Data'!A:B,2,0)</f>
        <v>55573</v>
      </c>
      <c r="J281" s="10">
        <f t="shared" si="14"/>
        <v>1635.4309327371207</v>
      </c>
    </row>
    <row r="282" spans="2:10">
      <c r="B282" s="12">
        <f t="shared" si="12"/>
        <v>46174</v>
      </c>
      <c r="C282" s="7">
        <v>46179</v>
      </c>
      <c r="D282" s="8">
        <v>7730</v>
      </c>
      <c r="E282" s="9">
        <v>10118.266</v>
      </c>
      <c r="F282" s="8">
        <v>7300</v>
      </c>
      <c r="G282" s="8">
        <v>9150</v>
      </c>
      <c r="H282" s="10">
        <f t="shared" si="13"/>
        <v>92361196.179999992</v>
      </c>
      <c r="I282" s="14">
        <f>VLOOKUP(C282,'Draw Data'!A:B,2,0)</f>
        <v>58791</v>
      </c>
      <c r="J282" s="10">
        <f t="shared" si="14"/>
        <v>1571.0091030940109</v>
      </c>
    </row>
    <row r="283" spans="2:10">
      <c r="B283" s="12">
        <f t="shared" si="12"/>
        <v>46174</v>
      </c>
      <c r="C283" s="7">
        <v>46180</v>
      </c>
      <c r="D283" s="8">
        <v>7553</v>
      </c>
      <c r="E283" s="9">
        <v>10231.384</v>
      </c>
      <c r="F283" s="8">
        <v>7360</v>
      </c>
      <c r="G283" s="8">
        <v>8600</v>
      </c>
      <c r="H283" s="10">
        <f t="shared" si="13"/>
        <v>91003243.351999998</v>
      </c>
      <c r="I283" s="14">
        <f>VLOOKUP(C283,'Draw Data'!A:B,2,0)</f>
        <v>56963</v>
      </c>
      <c r="J283" s="10">
        <f t="shared" si="14"/>
        <v>1597.5851579446307</v>
      </c>
    </row>
    <row r="284" spans="2:10">
      <c r="B284" s="12">
        <f t="shared" si="12"/>
        <v>46174</v>
      </c>
      <c r="C284" s="7">
        <v>46181</v>
      </c>
      <c r="D284" s="8">
        <v>7613</v>
      </c>
      <c r="E284" s="9">
        <v>10150.674999999999</v>
      </c>
      <c r="F284" s="8">
        <v>7300</v>
      </c>
      <c r="G284" s="8">
        <v>10250</v>
      </c>
      <c r="H284" s="10">
        <f t="shared" si="13"/>
        <v>92370088.774999991</v>
      </c>
      <c r="I284" s="14">
        <f>VLOOKUP(C284,'Draw Data'!A:B,2,0)</f>
        <v>59467</v>
      </c>
      <c r="J284" s="10">
        <f t="shared" si="14"/>
        <v>1553.2999609026854</v>
      </c>
    </row>
    <row r="285" spans="2:10">
      <c r="B285" s="12">
        <f t="shared" si="12"/>
        <v>46174</v>
      </c>
      <c r="C285" s="7">
        <v>46182</v>
      </c>
      <c r="D285" s="8">
        <v>7525</v>
      </c>
      <c r="E285" s="9">
        <v>10276.873</v>
      </c>
      <c r="F285" s="8">
        <v>7410</v>
      </c>
      <c r="G285" s="8">
        <v>10670</v>
      </c>
      <c r="H285" s="10">
        <f t="shared" si="13"/>
        <v>92882269.325000003</v>
      </c>
      <c r="I285" s="14">
        <f>VLOOKUP(C285,'Draw Data'!A:B,2,0)</f>
        <v>59525</v>
      </c>
      <c r="J285" s="10">
        <f t="shared" si="14"/>
        <v>1560.3909168416633</v>
      </c>
    </row>
    <row r="286" spans="2:10">
      <c r="B286" s="12">
        <f t="shared" si="12"/>
        <v>46174</v>
      </c>
      <c r="C286" s="7">
        <v>46183</v>
      </c>
      <c r="D286" s="8">
        <v>7544</v>
      </c>
      <c r="E286" s="9">
        <v>10229.313</v>
      </c>
      <c r="F286" s="8">
        <v>7220</v>
      </c>
      <c r="G286" s="8">
        <v>10670</v>
      </c>
      <c r="H286" s="10">
        <f t="shared" si="13"/>
        <v>92555337.272</v>
      </c>
      <c r="I286" s="14">
        <f>VLOOKUP(C286,'Draw Data'!A:B,2,0)</f>
        <v>59508</v>
      </c>
      <c r="J286" s="10">
        <f t="shared" si="14"/>
        <v>1555.3427652080393</v>
      </c>
    </row>
    <row r="287" spans="2:10">
      <c r="B287" s="12">
        <f t="shared" si="12"/>
        <v>46174</v>
      </c>
      <c r="C287" s="7">
        <v>46184</v>
      </c>
      <c r="D287" s="8">
        <v>7494</v>
      </c>
      <c r="E287" s="9">
        <v>10289.103999999999</v>
      </c>
      <c r="F287" s="8">
        <v>7320</v>
      </c>
      <c r="G287" s="8">
        <v>10200</v>
      </c>
      <c r="H287" s="10">
        <f t="shared" si="13"/>
        <v>92173745.376000002</v>
      </c>
      <c r="I287" s="14">
        <f>VLOOKUP(C287,'Draw Data'!A:B,2,0)</f>
        <v>57924</v>
      </c>
      <c r="J287" s="10">
        <f t="shared" si="14"/>
        <v>1591.2876420136731</v>
      </c>
    </row>
    <row r="288" spans="2:10">
      <c r="B288" s="12">
        <f t="shared" si="12"/>
        <v>46174</v>
      </c>
      <c r="C288" s="7">
        <v>46185</v>
      </c>
      <c r="D288" s="8">
        <v>7556</v>
      </c>
      <c r="E288" s="9">
        <v>10253.683999999999</v>
      </c>
      <c r="F288" s="8">
        <v>7380</v>
      </c>
      <c r="G288" s="8">
        <v>9160</v>
      </c>
      <c r="H288" s="10">
        <f t="shared" si="13"/>
        <v>91701236.30399999</v>
      </c>
      <c r="I288" s="14">
        <f>VLOOKUP(C288,'Draw Data'!A:B,2,0)</f>
        <v>57566</v>
      </c>
      <c r="J288" s="10">
        <f t="shared" si="14"/>
        <v>1592.975650627106</v>
      </c>
    </row>
    <row r="289" spans="2:10">
      <c r="B289" s="12">
        <f t="shared" si="12"/>
        <v>46174</v>
      </c>
      <c r="C289" s="7">
        <v>46186</v>
      </c>
      <c r="D289" s="8">
        <v>7535</v>
      </c>
      <c r="E289" s="9">
        <v>10231.166999999999</v>
      </c>
      <c r="F289" s="8">
        <v>7270</v>
      </c>
      <c r="G289" s="8">
        <v>10110</v>
      </c>
      <c r="H289" s="10">
        <f t="shared" si="13"/>
        <v>92038643.344999999</v>
      </c>
      <c r="I289" s="14">
        <f>VLOOKUP(C289,'Draw Data'!A:B,2,0)</f>
        <v>58720</v>
      </c>
      <c r="J289" s="10">
        <f t="shared" si="14"/>
        <v>1567.4155883004087</v>
      </c>
    </row>
    <row r="290" spans="2:10">
      <c r="B290" s="12">
        <f t="shared" si="12"/>
        <v>46174</v>
      </c>
      <c r="C290" s="7">
        <v>46187</v>
      </c>
      <c r="D290" s="8">
        <v>7624</v>
      </c>
      <c r="E290" s="9">
        <v>10295.099</v>
      </c>
      <c r="F290" s="8">
        <v>7330</v>
      </c>
      <c r="G290" s="8">
        <v>9430</v>
      </c>
      <c r="H290" s="10">
        <f t="shared" si="13"/>
        <v>92903434.776000008</v>
      </c>
      <c r="I290" s="14">
        <f>VLOOKUP(C290,'Draw Data'!A:B,2,0)</f>
        <v>58990</v>
      </c>
      <c r="J290" s="10">
        <f t="shared" si="14"/>
        <v>1574.9014201729108</v>
      </c>
    </row>
    <row r="291" spans="2:10">
      <c r="B291" s="12">
        <f t="shared" si="12"/>
        <v>46174</v>
      </c>
      <c r="C291" s="7">
        <v>46188</v>
      </c>
      <c r="D291" s="8">
        <v>7716</v>
      </c>
      <c r="E291" s="9">
        <v>10321.42</v>
      </c>
      <c r="F291" s="8">
        <v>7290</v>
      </c>
      <c r="G291" s="8">
        <v>9620</v>
      </c>
      <c r="H291" s="10">
        <f t="shared" si="13"/>
        <v>94182676.719999999</v>
      </c>
      <c r="I291" s="14">
        <f>VLOOKUP(C291,'Draw Data'!A:B,2,0)</f>
        <v>60419</v>
      </c>
      <c r="J291" s="10">
        <f t="shared" si="14"/>
        <v>1558.8254807262615</v>
      </c>
    </row>
    <row r="292" spans="2:10">
      <c r="B292" s="12">
        <f t="shared" si="12"/>
        <v>46174</v>
      </c>
      <c r="C292" s="7">
        <v>46189</v>
      </c>
      <c r="D292" s="8">
        <v>7713</v>
      </c>
      <c r="E292" s="9">
        <v>10343.35</v>
      </c>
      <c r="F292" s="8">
        <v>7400</v>
      </c>
      <c r="G292" s="8">
        <v>9510</v>
      </c>
      <c r="H292" s="10">
        <f t="shared" si="13"/>
        <v>94320858.549999997</v>
      </c>
      <c r="I292" s="14">
        <f>VLOOKUP(C292,'Draw Data'!A:B,2,0)</f>
        <v>61692</v>
      </c>
      <c r="J292" s="10">
        <f t="shared" si="14"/>
        <v>1528.8993475653244</v>
      </c>
    </row>
    <row r="293" spans="2:10">
      <c r="B293" s="12">
        <f t="shared" si="12"/>
        <v>46174</v>
      </c>
      <c r="C293" s="7">
        <v>46190</v>
      </c>
      <c r="D293" s="8">
        <v>7755</v>
      </c>
      <c r="E293" s="9">
        <v>10241.358</v>
      </c>
      <c r="F293" s="8">
        <v>7340</v>
      </c>
      <c r="G293" s="8">
        <v>10230</v>
      </c>
      <c r="H293" s="10">
        <f t="shared" si="13"/>
        <v>94531931.290000007</v>
      </c>
      <c r="I293" s="14">
        <f>VLOOKUP(C293,'Draw Data'!A:B,2,0)</f>
        <v>61813</v>
      </c>
      <c r="J293" s="10">
        <f t="shared" si="14"/>
        <v>1529.3211992622912</v>
      </c>
    </row>
    <row r="294" spans="2:10">
      <c r="B294" s="12">
        <f t="shared" si="12"/>
        <v>46174</v>
      </c>
      <c r="C294" s="7">
        <v>46191</v>
      </c>
      <c r="D294" s="8">
        <v>7651</v>
      </c>
      <c r="E294" s="9">
        <v>10278.459000000001</v>
      </c>
      <c r="F294" s="8">
        <v>7330</v>
      </c>
      <c r="G294" s="8">
        <v>8660</v>
      </c>
      <c r="H294" s="10">
        <f t="shared" si="13"/>
        <v>92391889.809</v>
      </c>
      <c r="I294" s="14">
        <f>VLOOKUP(C294,'Draw Data'!A:B,2,0)</f>
        <v>58677</v>
      </c>
      <c r="J294" s="10">
        <f t="shared" si="14"/>
        <v>1574.5844165345877</v>
      </c>
    </row>
    <row r="295" spans="2:10">
      <c r="B295" s="12">
        <f t="shared" si="12"/>
        <v>46174</v>
      </c>
      <c r="C295" s="7">
        <v>46192</v>
      </c>
      <c r="D295" s="8">
        <v>7655</v>
      </c>
      <c r="E295" s="9">
        <v>10266.875</v>
      </c>
      <c r="F295" s="8">
        <v>7320</v>
      </c>
      <c r="G295" s="8">
        <v>7910</v>
      </c>
      <c r="H295" s="10">
        <f t="shared" si="13"/>
        <v>91690728.125</v>
      </c>
      <c r="I295" s="14">
        <f>VLOOKUP(C295,'Draw Data'!A:B,2,0)</f>
        <v>57724</v>
      </c>
      <c r="J295" s="10">
        <f t="shared" si="14"/>
        <v>1588.4333747661285</v>
      </c>
    </row>
    <row r="296" spans="2:10">
      <c r="B296" s="12">
        <f t="shared" si="12"/>
        <v>46174</v>
      </c>
      <c r="C296" s="7">
        <v>46193</v>
      </c>
      <c r="D296" s="8">
        <v>7534</v>
      </c>
      <c r="E296" s="9">
        <v>10268.460999999999</v>
      </c>
      <c r="F296" s="8">
        <v>7300</v>
      </c>
      <c r="G296" s="8">
        <v>4990</v>
      </c>
      <c r="H296" s="10">
        <f t="shared" si="13"/>
        <v>87931985.173999995</v>
      </c>
      <c r="I296" s="14">
        <f>VLOOKUP(C296,'Draw Data'!A:B,2,0)</f>
        <v>52064</v>
      </c>
      <c r="J296" s="10">
        <f t="shared" si="14"/>
        <v>1688.9210428318991</v>
      </c>
    </row>
    <row r="297" spans="2:10">
      <c r="B297" s="12">
        <f t="shared" si="12"/>
        <v>46174</v>
      </c>
      <c r="C297" s="7">
        <v>46194</v>
      </c>
      <c r="D297" s="8">
        <v>7434</v>
      </c>
      <c r="E297" s="9">
        <v>10309.615</v>
      </c>
      <c r="F297" s="8">
        <v>7350</v>
      </c>
      <c r="G297" s="8">
        <v>4350</v>
      </c>
      <c r="H297" s="10">
        <f t="shared" si="13"/>
        <v>86703677.909999996</v>
      </c>
      <c r="I297" s="14">
        <f>VLOOKUP(C297,'Draw Data'!A:B,2,0)</f>
        <v>51503</v>
      </c>
      <c r="J297" s="10">
        <f t="shared" si="14"/>
        <v>1683.4684952332873</v>
      </c>
    </row>
    <row r="298" spans="2:10">
      <c r="B298" s="12">
        <f t="shared" si="12"/>
        <v>46174</v>
      </c>
      <c r="C298" s="7">
        <v>46195</v>
      </c>
      <c r="D298" s="8">
        <v>7517</v>
      </c>
      <c r="E298" s="9">
        <v>10299.268</v>
      </c>
      <c r="F298" s="8">
        <v>7320</v>
      </c>
      <c r="G298" s="8">
        <v>3970</v>
      </c>
      <c r="H298" s="10">
        <f t="shared" si="13"/>
        <v>87128997.555999994</v>
      </c>
      <c r="I298" s="14">
        <f>VLOOKUP(C298,'Draw Data'!A:B,2,0)</f>
        <v>50281</v>
      </c>
      <c r="J298" s="10">
        <f t="shared" si="14"/>
        <v>1732.8413825500686</v>
      </c>
    </row>
    <row r="299" spans="2:10">
      <c r="B299" s="12">
        <f t="shared" si="12"/>
        <v>46174</v>
      </c>
      <c r="C299" s="7">
        <v>46196</v>
      </c>
      <c r="D299" s="8">
        <v>7704</v>
      </c>
      <c r="E299" s="9">
        <v>10254.022000000001</v>
      </c>
      <c r="F299" s="8">
        <v>6130</v>
      </c>
      <c r="G299" s="8">
        <v>3590</v>
      </c>
      <c r="H299" s="10">
        <f t="shared" si="13"/>
        <v>87356185.488000005</v>
      </c>
      <c r="I299" s="14">
        <f>VLOOKUP(C299,'Draw Data'!A:B,2,0)</f>
        <v>51337</v>
      </c>
      <c r="J299" s="10">
        <f t="shared" si="14"/>
        <v>1701.622328690808</v>
      </c>
    </row>
    <row r="300" spans="2:10">
      <c r="B300" s="12">
        <f t="shared" si="12"/>
        <v>46174</v>
      </c>
      <c r="C300" s="7">
        <v>46197</v>
      </c>
      <c r="D300" s="8">
        <v>7663</v>
      </c>
      <c r="E300" s="9">
        <v>10237.831</v>
      </c>
      <c r="F300" s="8">
        <v>5820</v>
      </c>
      <c r="G300" s="8">
        <v>3750</v>
      </c>
      <c r="H300" s="10">
        <f t="shared" si="13"/>
        <v>86682698.952999994</v>
      </c>
      <c r="I300" s="14">
        <f>VLOOKUP(C300,'Draw Data'!A:B,2,0)</f>
        <v>50916</v>
      </c>
      <c r="J300" s="10">
        <f t="shared" si="14"/>
        <v>1702.4648234935971</v>
      </c>
    </row>
    <row r="301" spans="2:10">
      <c r="B301" s="12">
        <f t="shared" si="12"/>
        <v>46174</v>
      </c>
      <c r="C301" s="7">
        <v>46198</v>
      </c>
      <c r="D301" s="8">
        <v>7587</v>
      </c>
      <c r="E301" s="9">
        <v>10226.687</v>
      </c>
      <c r="F301" s="8">
        <v>5880</v>
      </c>
      <c r="G301" s="8">
        <v>3300</v>
      </c>
      <c r="H301" s="10">
        <f t="shared" si="13"/>
        <v>85484674.268999994</v>
      </c>
      <c r="I301" s="14">
        <f>VLOOKUP(C301,'Draw Data'!A:B,2,0)</f>
        <v>47824</v>
      </c>
      <c r="J301" s="10">
        <f t="shared" si="14"/>
        <v>1787.4848249623619</v>
      </c>
    </row>
    <row r="302" spans="2:10">
      <c r="B302" s="12">
        <f t="shared" si="12"/>
        <v>46174</v>
      </c>
      <c r="C302" s="7">
        <v>46199</v>
      </c>
      <c r="D302" s="8">
        <v>7590</v>
      </c>
      <c r="E302" s="9">
        <v>10197.995000000001</v>
      </c>
      <c r="F302" s="8">
        <v>5880</v>
      </c>
      <c r="G302" s="8">
        <v>2560</v>
      </c>
      <c r="H302" s="10">
        <f t="shared" si="13"/>
        <v>84661182.050000012</v>
      </c>
      <c r="I302" s="14">
        <f>VLOOKUP(C302,'Draw Data'!A:B,2,0)</f>
        <v>47958</v>
      </c>
      <c r="J302" s="10">
        <f t="shared" si="14"/>
        <v>1765.3192804120274</v>
      </c>
    </row>
    <row r="303" spans="2:10">
      <c r="B303" s="12">
        <f t="shared" si="12"/>
        <v>46174</v>
      </c>
      <c r="C303" s="7">
        <v>46200</v>
      </c>
      <c r="D303" s="8">
        <v>7566</v>
      </c>
      <c r="E303" s="9">
        <v>10250.243</v>
      </c>
      <c r="F303" s="8">
        <v>5550</v>
      </c>
      <c r="G303" s="8">
        <v>2860</v>
      </c>
      <c r="H303" s="10">
        <f t="shared" si="13"/>
        <v>84785938.538000003</v>
      </c>
      <c r="I303" s="14">
        <f>VLOOKUP(C303,'Draw Data'!A:B,2,0)</f>
        <v>47802</v>
      </c>
      <c r="J303" s="10">
        <f t="shared" si="14"/>
        <v>1773.6901915819421</v>
      </c>
    </row>
    <row r="304" spans="2:10">
      <c r="B304" s="12">
        <f t="shared" si="12"/>
        <v>46174</v>
      </c>
      <c r="C304" s="7">
        <v>46201</v>
      </c>
      <c r="D304" s="8">
        <v>7616</v>
      </c>
      <c r="E304" s="9">
        <v>10230.776</v>
      </c>
      <c r="F304" s="8">
        <v>7080</v>
      </c>
      <c r="G304" s="8">
        <v>4790</v>
      </c>
      <c r="H304" s="10">
        <f t="shared" si="13"/>
        <v>88125790.016000003</v>
      </c>
      <c r="I304" s="14">
        <f>VLOOKUP(C304,'Draw Data'!A:B,2,0)</f>
        <v>54497</v>
      </c>
      <c r="J304" s="10">
        <f t="shared" si="14"/>
        <v>1617.0759861276767</v>
      </c>
    </row>
    <row r="305" spans="2:10">
      <c r="B305" s="12">
        <f t="shared" si="12"/>
        <v>46174</v>
      </c>
      <c r="C305" s="7">
        <v>46202</v>
      </c>
      <c r="D305" s="8">
        <v>8357</v>
      </c>
      <c r="E305" s="9">
        <v>10293.522999999999</v>
      </c>
      <c r="F305" s="8">
        <v>7290</v>
      </c>
      <c r="G305" s="8">
        <v>7060</v>
      </c>
      <c r="H305" s="10">
        <f t="shared" si="13"/>
        <v>98363971.710999995</v>
      </c>
      <c r="I305" s="14">
        <f>VLOOKUP(C305,'Draw Data'!A:B,2,0)</f>
        <v>57343</v>
      </c>
      <c r="J305" s="10">
        <f t="shared" si="14"/>
        <v>1715.3614514587655</v>
      </c>
    </row>
    <row r="306" spans="2:10">
      <c r="B306" s="12">
        <f t="shared" si="12"/>
        <v>46174</v>
      </c>
      <c r="C306" s="7">
        <v>46203</v>
      </c>
      <c r="D306" s="8">
        <v>7809</v>
      </c>
      <c r="E306" s="9">
        <v>10255.08</v>
      </c>
      <c r="F306" s="8">
        <v>7340</v>
      </c>
      <c r="G306" s="8">
        <v>8050</v>
      </c>
      <c r="H306" s="10">
        <f t="shared" si="13"/>
        <v>93317319.719999999</v>
      </c>
      <c r="I306" s="14">
        <f>VLOOKUP(C306,'Draw Data'!A:B,2,0)</f>
        <v>60556</v>
      </c>
      <c r="J306" s="10">
        <f t="shared" si="14"/>
        <v>1541.0086485236804</v>
      </c>
    </row>
    <row r="307" spans="2:10">
      <c r="B307" s="12">
        <f t="shared" si="12"/>
        <v>46204</v>
      </c>
      <c r="C307" s="7">
        <v>46204</v>
      </c>
      <c r="D307" s="8">
        <v>7836</v>
      </c>
      <c r="E307" s="9">
        <v>10116.272999999999</v>
      </c>
      <c r="F307" s="8">
        <v>7350</v>
      </c>
      <c r="G307" s="8">
        <v>8930</v>
      </c>
      <c r="H307" s="10">
        <f t="shared" si="13"/>
        <v>93271915.228</v>
      </c>
      <c r="I307" s="14">
        <f>VLOOKUP(C307,'Draw Data'!A:B,2,0)</f>
        <v>60986</v>
      </c>
      <c r="J307" s="10">
        <f t="shared" si="14"/>
        <v>1529.3988001836487</v>
      </c>
    </row>
    <row r="308" spans="2:10">
      <c r="B308" s="12">
        <f t="shared" si="12"/>
        <v>46204</v>
      </c>
      <c r="C308" s="7">
        <v>46205</v>
      </c>
      <c r="D308" s="8">
        <v>8077</v>
      </c>
      <c r="E308" s="9">
        <v>9942.1460000000006</v>
      </c>
      <c r="F308" s="8">
        <v>7320</v>
      </c>
      <c r="G308" s="8">
        <v>8910</v>
      </c>
      <c r="H308" s="10">
        <f t="shared" si="13"/>
        <v>94260513.241999999</v>
      </c>
      <c r="I308" s="14">
        <f>VLOOKUP(C308,'Draw Data'!A:B,2,0)</f>
        <v>60778</v>
      </c>
      <c r="J308" s="10">
        <f t="shared" si="14"/>
        <v>1550.8985692520321</v>
      </c>
    </row>
    <row r="309" spans="2:10">
      <c r="B309" s="12">
        <f t="shared" si="12"/>
        <v>46204</v>
      </c>
      <c r="C309" s="7">
        <v>46206</v>
      </c>
      <c r="D309" s="8">
        <v>8388</v>
      </c>
      <c r="E309" s="9">
        <v>9485.7489999999998</v>
      </c>
      <c r="F309" s="8">
        <v>7220</v>
      </c>
      <c r="G309" s="8">
        <v>10380</v>
      </c>
      <c r="H309" s="10">
        <f t="shared" si="13"/>
        <v>94702462.612000003</v>
      </c>
      <c r="I309" s="14">
        <f>VLOOKUP(C309,'Draw Data'!A:B,2,0)</f>
        <v>62138</v>
      </c>
      <c r="J309" s="10">
        <f t="shared" si="14"/>
        <v>1524.066796678361</v>
      </c>
    </row>
    <row r="310" spans="2:10">
      <c r="B310" s="12">
        <f t="shared" si="12"/>
        <v>46204</v>
      </c>
      <c r="C310" s="7">
        <v>46207</v>
      </c>
      <c r="D310" s="8">
        <v>8667</v>
      </c>
      <c r="E310" s="9">
        <v>9325.4179999999997</v>
      </c>
      <c r="F310" s="8">
        <v>7360</v>
      </c>
      <c r="G310" s="8">
        <v>9740</v>
      </c>
      <c r="H310" s="10">
        <f t="shared" si="13"/>
        <v>95529397.805999994</v>
      </c>
      <c r="I310" s="14">
        <f>VLOOKUP(C310,'Draw Data'!A:B,2,0)</f>
        <v>61610</v>
      </c>
      <c r="J310" s="10">
        <f t="shared" si="14"/>
        <v>1550.5501997403019</v>
      </c>
    </row>
    <row r="311" spans="2:10">
      <c r="B311" s="12">
        <f t="shared" si="12"/>
        <v>46204</v>
      </c>
      <c r="C311" s="7">
        <v>46208</v>
      </c>
      <c r="D311" s="8">
        <v>8422</v>
      </c>
      <c r="E311" s="9">
        <v>9226.7009999999991</v>
      </c>
      <c r="F311" s="8">
        <v>7320</v>
      </c>
      <c r="G311" s="8">
        <v>9260</v>
      </c>
      <c r="H311" s="10">
        <f t="shared" si="13"/>
        <v>91966075.821999997</v>
      </c>
      <c r="I311" s="14">
        <f>VLOOKUP(C311,'Draw Data'!A:B,2,0)</f>
        <v>57999</v>
      </c>
      <c r="J311" s="10">
        <f t="shared" si="14"/>
        <v>1585.6493357126847</v>
      </c>
    </row>
    <row r="312" spans="2:10">
      <c r="B312" s="12">
        <f t="shared" si="12"/>
        <v>46204</v>
      </c>
      <c r="C312" s="7">
        <v>46209</v>
      </c>
      <c r="D312" s="8">
        <v>8193</v>
      </c>
      <c r="E312" s="9">
        <v>9703.777</v>
      </c>
      <c r="F312" s="8">
        <v>7200</v>
      </c>
      <c r="G312" s="8">
        <v>9000</v>
      </c>
      <c r="H312" s="10">
        <f t="shared" si="13"/>
        <v>93435044.960999995</v>
      </c>
      <c r="I312" s="14">
        <f>VLOOKUP(C312,'Draw Data'!A:B,2,0)</f>
        <v>58427</v>
      </c>
      <c r="J312" s="10">
        <f t="shared" si="14"/>
        <v>1599.1758084618411</v>
      </c>
    </row>
    <row r="313" spans="2:10">
      <c r="B313" s="12">
        <f t="shared" si="12"/>
        <v>46204</v>
      </c>
      <c r="C313" s="7">
        <v>46210</v>
      </c>
      <c r="D313" s="8">
        <v>7741</v>
      </c>
      <c r="E313" s="9">
        <v>10223.58</v>
      </c>
      <c r="F313" s="8">
        <v>7380</v>
      </c>
      <c r="G313" s="8">
        <v>8960</v>
      </c>
      <c r="H313" s="10">
        <f t="shared" si="13"/>
        <v>93193132.780000001</v>
      </c>
      <c r="I313" s="14">
        <f>VLOOKUP(C313,'Draw Data'!A:B,2,0)</f>
        <v>58851</v>
      </c>
      <c r="J313" s="10">
        <f t="shared" si="14"/>
        <v>1583.5437423323308</v>
      </c>
    </row>
    <row r="314" spans="2:10">
      <c r="B314" s="12">
        <f t="shared" si="12"/>
        <v>46204</v>
      </c>
      <c r="C314" s="7">
        <v>46211</v>
      </c>
      <c r="D314" s="8">
        <v>7747</v>
      </c>
      <c r="E314" s="9">
        <v>10295.553</v>
      </c>
      <c r="F314" s="8">
        <v>7310</v>
      </c>
      <c r="G314" s="8">
        <v>8560</v>
      </c>
      <c r="H314" s="10">
        <f t="shared" si="13"/>
        <v>93407849.091000006</v>
      </c>
      <c r="I314" s="14">
        <f>VLOOKUP(C314,'Draw Data'!A:B,2,0)</f>
        <v>59340</v>
      </c>
      <c r="J314" s="10">
        <f t="shared" si="14"/>
        <v>1574.1127248230537</v>
      </c>
    </row>
    <row r="315" spans="2:10">
      <c r="B315" s="12">
        <f t="shared" si="12"/>
        <v>46204</v>
      </c>
      <c r="C315" s="7">
        <v>46212</v>
      </c>
      <c r="D315" s="8">
        <v>7652</v>
      </c>
      <c r="E315" s="9">
        <v>10336.402</v>
      </c>
      <c r="F315" s="8">
        <v>7330</v>
      </c>
      <c r="G315" s="8">
        <v>8640</v>
      </c>
      <c r="H315" s="10">
        <f t="shared" si="13"/>
        <v>92828348.104000002</v>
      </c>
      <c r="I315" s="14">
        <f>VLOOKUP(C315,'Draw Data'!A:B,2,0)</f>
        <v>57472</v>
      </c>
      <c r="J315" s="10">
        <f t="shared" si="14"/>
        <v>1615.1925825445435</v>
      </c>
    </row>
    <row r="316" spans="2:10">
      <c r="B316" s="12">
        <f t="shared" si="12"/>
        <v>46204</v>
      </c>
      <c r="C316" s="7">
        <v>46213</v>
      </c>
      <c r="D316" s="8">
        <v>8116</v>
      </c>
      <c r="E316" s="9">
        <v>9897.9179999999997</v>
      </c>
      <c r="F316" s="8">
        <v>7330</v>
      </c>
      <c r="G316" s="8">
        <v>7810</v>
      </c>
      <c r="H316" s="10">
        <f t="shared" si="13"/>
        <v>93351902.487999991</v>
      </c>
      <c r="I316" s="14">
        <f>VLOOKUP(C316,'Draw Data'!A:B,2,0)</f>
        <v>59014</v>
      </c>
      <c r="J316" s="10">
        <f t="shared" si="14"/>
        <v>1581.8602787135255</v>
      </c>
    </row>
    <row r="317" spans="2:10">
      <c r="B317" s="12">
        <f t="shared" si="12"/>
        <v>46204</v>
      </c>
      <c r="C317" s="7">
        <v>46214</v>
      </c>
      <c r="D317" s="8">
        <v>8274</v>
      </c>
      <c r="E317" s="9">
        <v>9641.3510000000006</v>
      </c>
      <c r="F317" s="8">
        <v>7330</v>
      </c>
      <c r="G317" s="8">
        <v>9620</v>
      </c>
      <c r="H317" s="10">
        <f t="shared" si="13"/>
        <v>94349538.17400001</v>
      </c>
      <c r="I317" s="14">
        <f>VLOOKUP(C317,'Draw Data'!A:B,2,0)</f>
        <v>60319</v>
      </c>
      <c r="J317" s="10">
        <f t="shared" si="14"/>
        <v>1564.1760999685009</v>
      </c>
    </row>
    <row r="318" spans="2:10">
      <c r="B318" s="12">
        <f t="shared" si="12"/>
        <v>46204</v>
      </c>
      <c r="C318" s="7">
        <v>46215</v>
      </c>
      <c r="D318" s="8">
        <v>8635</v>
      </c>
      <c r="E318" s="9">
        <v>9281.0609999999997</v>
      </c>
      <c r="F318" s="8">
        <v>7330</v>
      </c>
      <c r="G318" s="8">
        <v>9000</v>
      </c>
      <c r="H318" s="10">
        <f t="shared" si="13"/>
        <v>94185761.734999999</v>
      </c>
      <c r="I318" s="14">
        <f>VLOOKUP(C318,'Draw Data'!A:B,2,0)</f>
        <v>57702</v>
      </c>
      <c r="J318" s="10">
        <f t="shared" si="14"/>
        <v>1632.2789805379364</v>
      </c>
    </row>
    <row r="319" spans="2:10">
      <c r="B319" s="12">
        <f t="shared" si="12"/>
        <v>46204</v>
      </c>
      <c r="C319" s="7">
        <v>46216</v>
      </c>
      <c r="D319" s="8">
        <v>8514</v>
      </c>
      <c r="E319" s="9">
        <v>9260.3909999999996</v>
      </c>
      <c r="F319" s="8">
        <v>7350</v>
      </c>
      <c r="G319" s="8">
        <v>7370</v>
      </c>
      <c r="H319" s="10">
        <f t="shared" si="13"/>
        <v>91502168.973999992</v>
      </c>
      <c r="I319" s="14">
        <f>VLOOKUP(C319,'Draw Data'!A:B,2,0)</f>
        <v>55874</v>
      </c>
      <c r="J319" s="10">
        <f t="shared" si="14"/>
        <v>1637.6520201524859</v>
      </c>
    </row>
    <row r="320" spans="2:10">
      <c r="B320" s="12">
        <f t="shared" si="12"/>
        <v>46204</v>
      </c>
      <c r="C320" s="7">
        <v>46217</v>
      </c>
      <c r="D320" s="8">
        <v>8345</v>
      </c>
      <c r="E320" s="9">
        <v>9348.4210000000003</v>
      </c>
      <c r="F320" s="8">
        <v>7310</v>
      </c>
      <c r="G320" s="8">
        <v>4650</v>
      </c>
      <c r="H320" s="10">
        <f t="shared" si="13"/>
        <v>88298173.245000005</v>
      </c>
      <c r="I320" s="14">
        <f>VLOOKUP(C320,'Draw Data'!A:B,2,0)</f>
        <v>51279</v>
      </c>
      <c r="J320" s="10">
        <f t="shared" si="14"/>
        <v>1721.9168323290237</v>
      </c>
    </row>
    <row r="321" spans="2:10">
      <c r="B321" s="12">
        <f t="shared" si="12"/>
        <v>46204</v>
      </c>
      <c r="C321" s="7">
        <v>46218</v>
      </c>
      <c r="D321" s="8">
        <v>8195</v>
      </c>
      <c r="E321" s="9">
        <v>9617.6319999999996</v>
      </c>
      <c r="F321" s="8">
        <v>7300</v>
      </c>
      <c r="G321" s="8">
        <v>5340</v>
      </c>
      <c r="H321" s="10">
        <f t="shared" si="13"/>
        <v>89686894.239999995</v>
      </c>
      <c r="I321" s="14">
        <f>VLOOKUP(C321,'Draw Data'!A:B,2,0)</f>
        <v>54394</v>
      </c>
      <c r="J321" s="10">
        <f t="shared" si="14"/>
        <v>1648.8380012501377</v>
      </c>
    </row>
    <row r="322" spans="2:10">
      <c r="B322" s="12">
        <f t="shared" si="12"/>
        <v>46204</v>
      </c>
      <c r="C322" s="7">
        <v>46219</v>
      </c>
      <c r="D322" s="8">
        <v>8378</v>
      </c>
      <c r="E322" s="9">
        <v>9393.4740000000002</v>
      </c>
      <c r="F322" s="8">
        <v>7350</v>
      </c>
      <c r="G322" s="8">
        <v>4630</v>
      </c>
      <c r="H322" s="10">
        <f t="shared" si="13"/>
        <v>89001325.172000006</v>
      </c>
      <c r="I322" s="14">
        <f>VLOOKUP(C322,'Draw Data'!A:B,2,0)</f>
        <v>50511</v>
      </c>
      <c r="J322" s="10">
        <f t="shared" si="14"/>
        <v>1762.0186726059671</v>
      </c>
    </row>
    <row r="323" spans="2:10">
      <c r="B323" s="12">
        <f t="shared" si="12"/>
        <v>46204</v>
      </c>
      <c r="C323" s="7">
        <v>46220</v>
      </c>
      <c r="D323" s="8">
        <v>8236</v>
      </c>
      <c r="E323" s="9">
        <v>9417.8320000000003</v>
      </c>
      <c r="F323" s="8">
        <v>7340</v>
      </c>
      <c r="G323" s="8">
        <v>3580</v>
      </c>
      <c r="H323" s="10">
        <f t="shared" si="13"/>
        <v>86956464.351999998</v>
      </c>
      <c r="I323" s="14">
        <f>VLOOKUP(C323,'Draw Data'!A:B,2,0)</f>
        <v>51272</v>
      </c>
      <c r="J323" s="10">
        <f t="shared" si="14"/>
        <v>1695.9834676236542</v>
      </c>
    </row>
    <row r="324" spans="2:10">
      <c r="B324" s="12">
        <f t="shared" si="12"/>
        <v>46204</v>
      </c>
      <c r="C324" s="7">
        <v>46221</v>
      </c>
      <c r="D324" s="8">
        <v>8490</v>
      </c>
      <c r="E324" s="9">
        <v>9079.9580000000005</v>
      </c>
      <c r="F324" s="8">
        <v>7340</v>
      </c>
      <c r="G324" s="8">
        <v>4110</v>
      </c>
      <c r="H324" s="10">
        <f t="shared" si="13"/>
        <v>86935843.420000002</v>
      </c>
      <c r="I324" s="14">
        <f>VLOOKUP(C324,'Draw Data'!A:B,2,0)</f>
        <v>49514</v>
      </c>
      <c r="J324" s="10">
        <f t="shared" si="14"/>
        <v>1755.7830799369876</v>
      </c>
    </row>
    <row r="325" spans="2:10">
      <c r="B325" s="12">
        <f t="shared" ref="B325:B337" si="15">DATE(YEAR(C325),MONTH(C325),1)</f>
        <v>46204</v>
      </c>
      <c r="C325" s="7">
        <v>46222</v>
      </c>
      <c r="D325" s="8">
        <v>8527</v>
      </c>
      <c r="E325" s="9">
        <v>9086.6489999999994</v>
      </c>
      <c r="F325" s="8">
        <v>7300</v>
      </c>
      <c r="G325" s="8">
        <v>4670</v>
      </c>
      <c r="H325" s="10">
        <f t="shared" ref="H325:H337" si="16">((D325 *(E325))+ ((F325+G325)*860))</f>
        <v>87776056.023000002</v>
      </c>
      <c r="I325" s="14">
        <f>VLOOKUP(C325,'Draw Data'!A:B,2,0)</f>
        <v>50935</v>
      </c>
      <c r="J325" s="10">
        <f t="shared" ref="J325:J337" si="17">H325/I325</f>
        <v>1723.2954947089429</v>
      </c>
    </row>
    <row r="326" spans="2:10">
      <c r="B326" s="12">
        <f t="shared" si="15"/>
        <v>46204</v>
      </c>
      <c r="C326" s="7">
        <v>46223</v>
      </c>
      <c r="D326" s="8">
        <v>8502</v>
      </c>
      <c r="E326" s="9">
        <v>9110.2330000000002</v>
      </c>
      <c r="F326" s="8">
        <v>7300</v>
      </c>
      <c r="G326" s="8">
        <v>5530</v>
      </c>
      <c r="H326" s="10">
        <f t="shared" si="16"/>
        <v>88489000.966000006</v>
      </c>
      <c r="I326" s="14">
        <f>VLOOKUP(C326,'Draw Data'!A:B,2,0)</f>
        <v>52368</v>
      </c>
      <c r="J326" s="10">
        <f t="shared" si="17"/>
        <v>1689.7533028948978</v>
      </c>
    </row>
    <row r="327" spans="2:10">
      <c r="B327" s="12">
        <f t="shared" si="15"/>
        <v>46204</v>
      </c>
      <c r="C327" s="7">
        <v>46224</v>
      </c>
      <c r="D327" s="8">
        <v>8598</v>
      </c>
      <c r="E327" s="9">
        <v>9045.1190000000006</v>
      </c>
      <c r="F327" s="8">
        <v>7350</v>
      </c>
      <c r="G327" s="8">
        <v>5940</v>
      </c>
      <c r="H327" s="10">
        <f t="shared" si="16"/>
        <v>89199333.162</v>
      </c>
      <c r="I327" s="14">
        <f>VLOOKUP(C327,'Draw Data'!A:B,2,0)</f>
        <v>52092</v>
      </c>
      <c r="J327" s="10">
        <f t="shared" si="17"/>
        <v>1712.3422629578438</v>
      </c>
    </row>
    <row r="328" spans="2:10">
      <c r="B328" s="12">
        <f t="shared" si="15"/>
        <v>46204</v>
      </c>
      <c r="C328" s="7">
        <v>46225</v>
      </c>
      <c r="D328" s="8">
        <v>8556</v>
      </c>
      <c r="E328" s="9">
        <v>9097.6460000000006</v>
      </c>
      <c r="F328" s="8">
        <v>7220</v>
      </c>
      <c r="G328" s="8">
        <v>6090</v>
      </c>
      <c r="H328" s="10">
        <f t="shared" si="16"/>
        <v>89286059.175999999</v>
      </c>
      <c r="I328" s="14">
        <f>VLOOKUP(C328,'Draw Data'!A:B,2,0)</f>
        <v>52138</v>
      </c>
      <c r="J328" s="10">
        <f t="shared" si="17"/>
        <v>1712.4949015305535</v>
      </c>
    </row>
    <row r="329" spans="2:10">
      <c r="B329" s="12">
        <f t="shared" si="15"/>
        <v>46204</v>
      </c>
      <c r="C329" s="7">
        <v>46226</v>
      </c>
      <c r="D329" s="8">
        <v>8125</v>
      </c>
      <c r="E329" s="9">
        <v>9613.2919999999995</v>
      </c>
      <c r="F329" s="8">
        <v>7320</v>
      </c>
      <c r="G329" s="8">
        <v>5850</v>
      </c>
      <c r="H329" s="10">
        <f t="shared" si="16"/>
        <v>89434197.5</v>
      </c>
      <c r="I329" s="14">
        <f>VLOOKUP(C329,'Draw Data'!A:B,2,0)</f>
        <v>51336</v>
      </c>
      <c r="J329" s="10">
        <f t="shared" si="17"/>
        <v>1742.134126149291</v>
      </c>
    </row>
    <row r="330" spans="2:10">
      <c r="B330" s="12">
        <f t="shared" si="15"/>
        <v>46204</v>
      </c>
      <c r="C330" s="7">
        <v>46227</v>
      </c>
      <c r="D330" s="8">
        <v>8147</v>
      </c>
      <c r="E330" s="9">
        <v>9538.7250000000004</v>
      </c>
      <c r="F330" s="8">
        <v>7360</v>
      </c>
      <c r="G330" s="8">
        <v>5820</v>
      </c>
      <c r="H330" s="10">
        <f t="shared" si="16"/>
        <v>89046792.575000003</v>
      </c>
      <c r="I330" s="14">
        <f>VLOOKUP(C330,'Draw Data'!A:B,2,0)</f>
        <v>53140</v>
      </c>
      <c r="J330" s="10">
        <f t="shared" si="17"/>
        <v>1675.7017797327815</v>
      </c>
    </row>
    <row r="331" spans="2:10">
      <c r="B331" s="12">
        <f t="shared" si="15"/>
        <v>46204</v>
      </c>
      <c r="C331" s="7">
        <v>46228</v>
      </c>
      <c r="D331" s="8">
        <v>8440</v>
      </c>
      <c r="E331" s="9">
        <v>9080.8539999999994</v>
      </c>
      <c r="F331" s="8">
        <v>7370</v>
      </c>
      <c r="G331" s="8">
        <v>6040</v>
      </c>
      <c r="H331" s="10">
        <f t="shared" si="16"/>
        <v>88175007.75999999</v>
      </c>
      <c r="I331" s="14">
        <f>VLOOKUP(C331,'Draw Data'!A:B,2,0)</f>
        <v>51490</v>
      </c>
      <c r="J331" s="10">
        <f t="shared" si="17"/>
        <v>1712.4685911827537</v>
      </c>
    </row>
    <row r="332" spans="2:10">
      <c r="B332" s="12">
        <f t="shared" si="15"/>
        <v>46204</v>
      </c>
      <c r="C332" s="7">
        <v>46229</v>
      </c>
      <c r="D332" s="8">
        <v>8361</v>
      </c>
      <c r="E332" s="9">
        <v>9242.2090000000007</v>
      </c>
      <c r="F332" s="8">
        <v>7280</v>
      </c>
      <c r="G332" s="8">
        <v>5590</v>
      </c>
      <c r="H332" s="10">
        <f t="shared" si="16"/>
        <v>88342309.449000001</v>
      </c>
      <c r="I332" s="14">
        <f>VLOOKUP(C332,'Draw Data'!A:B,2,0)</f>
        <v>52012</v>
      </c>
      <c r="J332" s="10">
        <f t="shared" si="17"/>
        <v>1698.4986051103592</v>
      </c>
    </row>
    <row r="333" spans="2:10">
      <c r="B333" s="12">
        <f t="shared" si="15"/>
        <v>46204</v>
      </c>
      <c r="C333" s="7">
        <v>46230</v>
      </c>
      <c r="D333" s="8">
        <v>8387</v>
      </c>
      <c r="E333" s="9">
        <v>9135.6880000000001</v>
      </c>
      <c r="F333" s="8">
        <v>7360</v>
      </c>
      <c r="G333" s="8">
        <v>6480</v>
      </c>
      <c r="H333" s="10">
        <f t="shared" si="16"/>
        <v>88523415.255999997</v>
      </c>
      <c r="I333" s="14">
        <f>VLOOKUP(C333,'Draw Data'!A:B,2,0)</f>
        <v>53930</v>
      </c>
      <c r="J333" s="10">
        <f t="shared" si="17"/>
        <v>1641.4503106990542</v>
      </c>
    </row>
    <row r="334" spans="2:10">
      <c r="B334" s="12">
        <f t="shared" si="15"/>
        <v>46204</v>
      </c>
      <c r="C334" s="7">
        <v>46231</v>
      </c>
      <c r="D334" s="8">
        <v>8379</v>
      </c>
      <c r="E334" s="9">
        <v>9099.7029999999995</v>
      </c>
      <c r="F334" s="8">
        <v>7290</v>
      </c>
      <c r="G334" s="8">
        <v>6030</v>
      </c>
      <c r="H334" s="10">
        <f t="shared" si="16"/>
        <v>87701611.436999992</v>
      </c>
      <c r="I334" s="14">
        <f>VLOOKUP(C334,'Draw Data'!A:B,2,0)</f>
        <v>52271</v>
      </c>
      <c r="J334" s="10">
        <f t="shared" si="17"/>
        <v>1677.8253991123183</v>
      </c>
    </row>
    <row r="335" spans="2:10">
      <c r="B335" s="12">
        <f t="shared" si="15"/>
        <v>46204</v>
      </c>
      <c r="C335" s="7">
        <v>46232</v>
      </c>
      <c r="D335" s="8">
        <v>8217</v>
      </c>
      <c r="E335" s="9">
        <v>9326.8649999999998</v>
      </c>
      <c r="F335" s="8">
        <v>7320</v>
      </c>
      <c r="G335" s="8">
        <v>4860</v>
      </c>
      <c r="H335" s="10">
        <f t="shared" si="16"/>
        <v>87113649.704999998</v>
      </c>
      <c r="I335" s="14">
        <f>VLOOKUP(C335,'Draw Data'!A:B,2,0)</f>
        <v>49730</v>
      </c>
      <c r="J335" s="10">
        <f t="shared" si="17"/>
        <v>1751.7323487834306</v>
      </c>
    </row>
    <row r="336" spans="2:10">
      <c r="B336" s="12">
        <f t="shared" si="15"/>
        <v>46204</v>
      </c>
      <c r="C336" s="7">
        <v>46233</v>
      </c>
      <c r="D336" s="8">
        <v>8114</v>
      </c>
      <c r="E336" s="9">
        <v>9405.3080000000009</v>
      </c>
      <c r="F336" s="8">
        <v>7330</v>
      </c>
      <c r="G336" s="8">
        <v>5300</v>
      </c>
      <c r="H336" s="10">
        <f t="shared" si="16"/>
        <v>87176469.112000003</v>
      </c>
      <c r="I336" s="14">
        <f>VLOOKUP(C336,'Draw Data'!A:B,2,0)</f>
        <v>51780</v>
      </c>
      <c r="J336" s="10">
        <f t="shared" si="17"/>
        <v>1683.593455233681</v>
      </c>
    </row>
    <row r="337" spans="2:10">
      <c r="B337" s="12">
        <f t="shared" si="15"/>
        <v>46204</v>
      </c>
      <c r="C337" s="7">
        <v>46234</v>
      </c>
      <c r="D337" s="8">
        <v>8298</v>
      </c>
      <c r="E337" s="9">
        <v>9450.68</v>
      </c>
      <c r="F337" s="8">
        <v>7310</v>
      </c>
      <c r="G337" s="8">
        <v>7520</v>
      </c>
      <c r="H337" s="10">
        <f t="shared" si="16"/>
        <v>91175542.640000001</v>
      </c>
      <c r="I337" s="14">
        <f>VLOOKUP(C337,'Draw Data'!A:B,2,0)</f>
        <v>54762</v>
      </c>
      <c r="J337" s="10">
        <f t="shared" si="17"/>
        <v>1664.9417961360068</v>
      </c>
    </row>
    <row r="338" spans="2:10">
      <c r="C338" s="1"/>
      <c r="D338" s="2"/>
      <c r="E338" s="3"/>
      <c r="F338" s="2"/>
      <c r="G33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21EA-830B-4A82-A0A8-A751F3E5CE23}">
  <dimension ref="B1:N40"/>
  <sheetViews>
    <sheetView topLeftCell="A11" workbookViewId="0">
      <selection activeCell="P23" sqref="P23"/>
    </sheetView>
  </sheetViews>
  <sheetFormatPr defaultRowHeight="14.45"/>
  <cols>
    <col min="2" max="2" width="14.5703125" customWidth="1"/>
    <col min="3" max="3" width="9.140625" customWidth="1"/>
    <col min="4" max="5" width="12.7109375" customWidth="1"/>
    <col min="6" max="6" width="9.85546875" customWidth="1"/>
    <col min="7" max="7" width="2.5703125" hidden="1" customWidth="1"/>
    <col min="8" max="8" width="1.5703125" customWidth="1"/>
    <col min="9" max="9" width="14.5703125" customWidth="1"/>
    <col min="10" max="10" width="9.140625" customWidth="1"/>
    <col min="11" max="12" width="12.7109375" customWidth="1"/>
    <col min="13" max="13" width="4.42578125" customWidth="1"/>
    <col min="14" max="14" width="8.28515625" hidden="1" customWidth="1"/>
  </cols>
  <sheetData>
    <row r="1" spans="2:14" ht="32.1" customHeight="1">
      <c r="B1" s="74" t="s">
        <v>28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2:14" ht="21.95" customHeight="1">
      <c r="B2" s="76" t="s">
        <v>29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2:14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2:14" ht="14.45" customHeight="1">
      <c r="B4" s="68" t="s">
        <v>30</v>
      </c>
      <c r="C4" s="68"/>
      <c r="D4" s="68"/>
      <c r="E4" s="68" t="s">
        <v>31</v>
      </c>
      <c r="F4" s="68"/>
      <c r="G4" s="68"/>
      <c r="H4" s="51"/>
      <c r="I4" s="68" t="s">
        <v>32</v>
      </c>
      <c r="J4" s="68"/>
      <c r="K4" s="68"/>
      <c r="L4" s="68" t="s">
        <v>33</v>
      </c>
      <c r="M4" s="68"/>
      <c r="N4" s="68"/>
    </row>
    <row r="5" spans="2:14" ht="48" customHeight="1">
      <c r="B5" s="69">
        <f>'Daily Variation Analysis'!B10</f>
        <v>1576.3063738693186</v>
      </c>
      <c r="C5" s="69"/>
      <c r="D5" s="69"/>
      <c r="E5" s="70" t="str">
        <f>INDEX('Draw Bucket Analysis'!$A$17:$A$22,MATCH(MIN('Draw Bucket Analysis'!$E$17:$E$22),'Draw Bucket Analysis'!$E$17:$E$22,0))</f>
        <v>60-63</v>
      </c>
      <c r="F5" s="70"/>
      <c r="G5" s="70"/>
      <c r="H5" s="51"/>
      <c r="I5" s="71">
        <f>('Draw Bucket Analysis'!E17-'Draw Bucket Analysis'!E22)/'Draw Bucket Analysis'!E17</f>
        <v>0.14384204351861674</v>
      </c>
      <c r="J5" s="71"/>
      <c r="K5" s="71"/>
      <c r="L5" s="69">
        <f>SUM('Draw Bucket Analysis'!B17:B22)</f>
        <v>334</v>
      </c>
      <c r="M5" s="69"/>
      <c r="N5" s="69"/>
    </row>
    <row r="6" spans="2:14"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2:14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2:14">
      <c r="B8" s="72" t="str">
        <f>"SFC improves materially as throughput rises. The 5-tonne view falls from "&amp;TEXT('Draw Bucket Analysis'!E9,"#,##0")&amp;" kcal/kg at 45–50 t to "&amp;TEXT('Draw Bucket Analysis'!E12,"#,##0")&amp;" at 60–65 t ("&amp;TEXT(('Draw Bucket Analysis'!E9-'Draw Bucket Analysis'!E12)/'Draw Bucket Analysis'!E9,"0.0%")&amp;" lower). The finer 3-tonne view confirms the strongest band at "&amp;E5&amp;", while the 2% target line translates each operating band into an immediate efficiency ambition."</f>
        <v>SFC improves materially as throughput rises. The 5-tonne view falls from 1,765 kcal/kg at 45–50 t to 1,520 at 60–65 t (13.9% lower). The finer 3-tonne view confirms the strongest band at 60-63, while the 2% target line translates each operating band into an immediate efficiency ambition.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</row>
    <row r="9" spans="2:14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</row>
    <row r="10" spans="2:14"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</row>
    <row r="11" spans="2:14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2:14">
      <c r="B12" s="66" t="s">
        <v>34</v>
      </c>
      <c r="C12" s="66"/>
      <c r="D12" s="66"/>
      <c r="E12" s="66"/>
      <c r="F12" s="66"/>
      <c r="G12" s="66"/>
      <c r="H12" s="51"/>
      <c r="I12" s="66" t="s">
        <v>35</v>
      </c>
      <c r="J12" s="66"/>
      <c r="K12" s="66"/>
      <c r="L12" s="66"/>
      <c r="M12" s="66"/>
      <c r="N12" s="66"/>
    </row>
    <row r="13" spans="2:14"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2:14"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spans="2:14"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</row>
    <row r="16" spans="2:14"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</row>
    <row r="17" spans="2:14"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2:14"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 spans="2:14"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2:14"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spans="2:14"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</row>
    <row r="22" spans="2:14"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</row>
    <row r="23" spans="2:14"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</row>
    <row r="24" spans="2:14"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5" spans="2:14"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2:14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</row>
    <row r="27" spans="2:14"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</row>
    <row r="28" spans="2:14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</row>
    <row r="29" spans="2:14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</row>
    <row r="30" spans="2:14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</row>
    <row r="31" spans="2:14">
      <c r="B31" s="67" t="s">
        <v>36</v>
      </c>
      <c r="C31" s="67"/>
      <c r="D31" s="67"/>
      <c r="E31" s="67"/>
      <c r="F31" s="67"/>
      <c r="G31" s="67"/>
      <c r="H31" s="51"/>
      <c r="I31" s="67" t="s">
        <v>37</v>
      </c>
      <c r="J31" s="67"/>
      <c r="K31" s="67"/>
      <c r="L31" s="67"/>
      <c r="M31" s="67"/>
      <c r="N31" s="67"/>
    </row>
    <row r="32" spans="2:14">
      <c r="B32" s="52" t="s">
        <v>38</v>
      </c>
      <c r="C32" s="52" t="s">
        <v>39</v>
      </c>
      <c r="D32" s="52" t="s">
        <v>40</v>
      </c>
      <c r="E32" s="52" t="s">
        <v>41</v>
      </c>
      <c r="F32" s="52" t="s">
        <v>42</v>
      </c>
      <c r="G32" s="52" t="s">
        <v>43</v>
      </c>
      <c r="H32" s="51"/>
      <c r="I32" s="52" t="s">
        <v>38</v>
      </c>
      <c r="J32" s="52" t="s">
        <v>39</v>
      </c>
      <c r="K32" s="52" t="s">
        <v>40</v>
      </c>
      <c r="L32" s="52" t="s">
        <v>41</v>
      </c>
      <c r="M32" s="52" t="s">
        <v>42</v>
      </c>
      <c r="N32" s="52" t="s">
        <v>43</v>
      </c>
    </row>
    <row r="33" spans="2:14">
      <c r="B33" s="53" t="str">
        <f>'Draw Bucket Analysis'!A9</f>
        <v>45-50</v>
      </c>
      <c r="C33" s="55">
        <f>'Draw Bucket Analysis'!B9</f>
        <v>6</v>
      </c>
      <c r="D33" s="55">
        <f>'Draw Bucket Analysis'!E9</f>
        <v>1765.3727678481291</v>
      </c>
      <c r="E33" s="55">
        <f>'Draw Bucket Analysis'!K9</f>
        <v>1730.0653124911664</v>
      </c>
      <c r="F33" s="55">
        <f>D33-E33</f>
        <v>35.307455356962691</v>
      </c>
      <c r="G33" s="56" t="str">
        <f>"—"</f>
        <v>—</v>
      </c>
      <c r="H33" s="51"/>
      <c r="I33" s="53" t="str">
        <f>'Draw Bucket Analysis'!B15</f>
        <v>45-48</v>
      </c>
      <c r="J33" s="55">
        <f>'Draw Bucket Analysis'!B17</f>
        <v>3</v>
      </c>
      <c r="K33" s="55">
        <f>'Draw Bucket Analysis'!E17</f>
        <v>1775.4980989854437</v>
      </c>
      <c r="L33" s="55">
        <f>'Draw Bucket Analysis'!K17</f>
        <v>1739.9881370057349</v>
      </c>
      <c r="M33" s="55">
        <f>K33-L33</f>
        <v>35.509961979708805</v>
      </c>
      <c r="N33" s="56" t="str">
        <f>"—"</f>
        <v>—</v>
      </c>
    </row>
    <row r="34" spans="2:14">
      <c r="B34" s="53" t="str">
        <f>'Draw Bucket Analysis'!A10</f>
        <v>50-55</v>
      </c>
      <c r="C34" s="55">
        <f>'Draw Bucket Analysis'!B10</f>
        <v>63</v>
      </c>
      <c r="D34" s="55">
        <f>'Draw Bucket Analysis'!E10</f>
        <v>1662.6063082583271</v>
      </c>
      <c r="E34" s="55">
        <f>'Draw Bucket Analysis'!K10</f>
        <v>1629.3541820931605</v>
      </c>
      <c r="F34" s="55">
        <f>D34-E34</f>
        <v>33.252126165166601</v>
      </c>
      <c r="G34" s="57">
        <f>(D33-D34)/D33</f>
        <v>5.8212328558272394E-2</v>
      </c>
      <c r="H34" s="51"/>
      <c r="I34" s="53" t="str">
        <f>'Draw Bucket Analysis'!A18</f>
        <v>48-51</v>
      </c>
      <c r="J34" s="55">
        <f>'Draw Bucket Analysis'!B18</f>
        <v>9</v>
      </c>
      <c r="K34" s="55">
        <f>'Draw Bucket Analysis'!E18</f>
        <v>1729.7317274432969</v>
      </c>
      <c r="L34" s="55">
        <f>'Draw Bucket Analysis'!K18</f>
        <v>1695.1370928944309</v>
      </c>
      <c r="M34" s="55">
        <f>K34-L34</f>
        <v>34.594634548865997</v>
      </c>
      <c r="N34" s="57">
        <f>(K33-K34)/K33</f>
        <v>2.5776637873224772E-2</v>
      </c>
    </row>
    <row r="35" spans="2:14">
      <c r="B35" s="53" t="str">
        <f>'Draw Bucket Analysis'!A11</f>
        <v>55-60</v>
      </c>
      <c r="C35" s="55">
        <f>'Draw Bucket Analysis'!B11</f>
        <v>185</v>
      </c>
      <c r="D35" s="55">
        <f>'Draw Bucket Analysis'!E11</f>
        <v>1565.0883724966075</v>
      </c>
      <c r="E35" s="55">
        <f>'Draw Bucket Analysis'!K11</f>
        <v>1533.7866050466753</v>
      </c>
      <c r="F35" s="55">
        <f>D35-E35</f>
        <v>31.301767449932186</v>
      </c>
      <c r="G35" s="57">
        <f>(D34-D35)/D34</f>
        <v>5.8653654372257918E-2</v>
      </c>
      <c r="H35" s="51"/>
      <c r="I35" s="53" t="str">
        <f>'Draw Bucket Analysis'!A19</f>
        <v>51-54</v>
      </c>
      <c r="J35" s="55">
        <f>'Draw Bucket Analysis'!B19</f>
        <v>46</v>
      </c>
      <c r="K35" s="55">
        <f>'Draw Bucket Analysis'!E19</f>
        <v>1665.1893378492694</v>
      </c>
      <c r="L35" s="55">
        <f>'Draw Bucket Analysis'!K19</f>
        <v>1631.885551092284</v>
      </c>
      <c r="M35" s="55">
        <f>K35-L35</f>
        <v>33.303786756985346</v>
      </c>
      <c r="N35" s="57">
        <f>(K34-K35)/K34</f>
        <v>3.7313525889605528E-2</v>
      </c>
    </row>
    <row r="36" spans="2:14">
      <c r="B36" s="54" t="str">
        <f>'Draw Bucket Analysis'!A12</f>
        <v>60-65</v>
      </c>
      <c r="C36" s="58">
        <f>'Draw Bucket Analysis'!B12</f>
        <v>80</v>
      </c>
      <c r="D36" s="58">
        <f>'Draw Bucket Analysis'!E12</f>
        <v>1520.1068241639582</v>
      </c>
      <c r="E36" s="58">
        <f>'Draw Bucket Analysis'!K12</f>
        <v>1489.7046876806789</v>
      </c>
      <c r="F36" s="58">
        <f>D36-E36</f>
        <v>30.402136483279264</v>
      </c>
      <c r="G36" s="59">
        <f>(D35-D36)/D35</f>
        <v>2.8740580482938038E-2</v>
      </c>
      <c r="H36" s="51"/>
      <c r="I36" s="53" t="str">
        <f>'Draw Bucket Analysis'!A20</f>
        <v>54-57</v>
      </c>
      <c r="J36" s="55">
        <f>'Draw Bucket Analysis'!B20</f>
        <v>64</v>
      </c>
      <c r="K36" s="55">
        <f>'Draw Bucket Analysis'!E20</f>
        <v>1594.7855906626207</v>
      </c>
      <c r="L36" s="55">
        <f>'Draw Bucket Analysis'!K20</f>
        <v>1562.8898788493682</v>
      </c>
      <c r="M36" s="55">
        <f>K36-L36</f>
        <v>31.895711813252547</v>
      </c>
      <c r="N36" s="57">
        <f>(K35-K36)/K35</f>
        <v>4.2279724945621447E-2</v>
      </c>
    </row>
    <row r="37" spans="2:14">
      <c r="B37" s="51"/>
      <c r="C37" s="51"/>
      <c r="D37" s="51"/>
      <c r="E37" s="51"/>
      <c r="F37" s="51"/>
      <c r="G37" s="51"/>
      <c r="H37" s="51"/>
      <c r="I37" s="53" t="str">
        <f>'Draw Bucket Analysis'!A21</f>
        <v>57-60</v>
      </c>
      <c r="J37" s="55">
        <f>'Draw Bucket Analysis'!B21</f>
        <v>132</v>
      </c>
      <c r="K37" s="55">
        <f>'Draw Bucket Analysis'!E21</f>
        <v>1555.4448163016334</v>
      </c>
      <c r="L37" s="55">
        <f>'Draw Bucket Analysis'!K21</f>
        <v>1524.3359199756007</v>
      </c>
      <c r="M37" s="55">
        <f>K37-L37</f>
        <v>31.108896326032664</v>
      </c>
      <c r="N37" s="57">
        <f>(K36-K37)/K36</f>
        <v>2.4668378364668786E-2</v>
      </c>
    </row>
    <row r="38" spans="2:14">
      <c r="B38" s="51"/>
      <c r="C38" s="51"/>
      <c r="D38" s="51"/>
      <c r="E38" s="51"/>
      <c r="F38" s="51"/>
      <c r="G38" s="51"/>
      <c r="H38" s="51"/>
      <c r="I38" s="54" t="str">
        <f>'Draw Bucket Analysis'!A22</f>
        <v>60-63</v>
      </c>
      <c r="J38" s="58">
        <f>'Draw Bucket Analysis'!B22</f>
        <v>80</v>
      </c>
      <c r="K38" s="58">
        <f>'Draw Bucket Analysis'!E22</f>
        <v>1520.1068241639582</v>
      </c>
      <c r="L38" s="58">
        <f>'Draw Bucket Analysis'!K22</f>
        <v>1489.7046876806789</v>
      </c>
      <c r="M38" s="58">
        <f>K38-L38</f>
        <v>30.402136483279264</v>
      </c>
      <c r="N38" s="59">
        <f>(K37-K38)/K37</f>
        <v>2.2718898007386731E-2</v>
      </c>
    </row>
    <row r="39" spans="2:14"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0" spans="2:14"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</sheetData>
  <mergeCells count="15">
    <mergeCell ref="B1:N1"/>
    <mergeCell ref="B2:N2"/>
    <mergeCell ref="B4:D4"/>
    <mergeCell ref="E4:G4"/>
    <mergeCell ref="I4:K4"/>
    <mergeCell ref="B12:G12"/>
    <mergeCell ref="I12:N12"/>
    <mergeCell ref="B31:G31"/>
    <mergeCell ref="I31:N31"/>
    <mergeCell ref="L4:N4"/>
    <mergeCell ref="B5:D5"/>
    <mergeCell ref="E5:G5"/>
    <mergeCell ref="I5:K5"/>
    <mergeCell ref="L5:N5"/>
    <mergeCell ref="B8:N10"/>
  </mergeCells>
  <conditionalFormatting sqref="G34:G36">
    <cfRule type="colorScale" priority="1">
      <colorScale>
        <cfvo type="min"/>
        <cfvo type="percentile" val="50"/>
        <cfvo type="max"/>
        <color rgb="FFFCE8E6"/>
        <color rgb="FFFFF4CC"/>
        <color rgb="FFD9EAD3"/>
      </colorScale>
    </cfRule>
  </conditionalFormatting>
  <conditionalFormatting sqref="N34:N38">
    <cfRule type="colorScale" priority="2">
      <colorScale>
        <cfvo type="min"/>
        <cfvo type="percentile" val="50"/>
        <cfvo type="max"/>
        <color rgb="FFFCE8E6"/>
        <color rgb="FFFFF4CC"/>
        <color rgb="FFD9EAD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A12D-01CF-4654-8845-F7C6626D3D02}">
  <dimension ref="A1:E337"/>
  <sheetViews>
    <sheetView workbookViewId="0">
      <selection activeCell="E2" sqref="E2:E8"/>
    </sheetView>
  </sheetViews>
  <sheetFormatPr defaultRowHeight="14.45"/>
  <cols>
    <col min="1" max="1" width="10.140625" bestFit="1" customWidth="1"/>
    <col min="5" max="5" width="27.42578125" bestFit="1" customWidth="1"/>
  </cols>
  <sheetData>
    <row r="1" spans="1:5">
      <c r="A1" t="s">
        <v>18</v>
      </c>
      <c r="B1" t="s">
        <v>44</v>
      </c>
    </row>
    <row r="2" spans="1:5">
      <c r="A2" s="1">
        <v>45901</v>
      </c>
      <c r="B2">
        <v>60554</v>
      </c>
      <c r="E2" t="s">
        <v>45</v>
      </c>
    </row>
    <row r="3" spans="1:5">
      <c r="A3" s="1">
        <v>45902</v>
      </c>
      <c r="B3">
        <v>57841</v>
      </c>
      <c r="E3" t="s">
        <v>46</v>
      </c>
    </row>
    <row r="4" spans="1:5">
      <c r="A4" s="1">
        <v>45903</v>
      </c>
      <c r="B4">
        <v>60258</v>
      </c>
      <c r="E4" t="s">
        <v>47</v>
      </c>
    </row>
    <row r="5" spans="1:5">
      <c r="A5" s="1">
        <v>45904</v>
      </c>
      <c r="B5">
        <v>59462</v>
      </c>
      <c r="E5" t="s">
        <v>48</v>
      </c>
    </row>
    <row r="6" spans="1:5">
      <c r="A6" s="1">
        <v>45905</v>
      </c>
      <c r="B6">
        <v>56709</v>
      </c>
      <c r="E6" s="11" t="s">
        <v>49</v>
      </c>
    </row>
    <row r="7" spans="1:5">
      <c r="A7" s="1">
        <v>45906</v>
      </c>
      <c r="B7">
        <v>55926</v>
      </c>
      <c r="E7" t="s">
        <v>50</v>
      </c>
    </row>
    <row r="8" spans="1:5">
      <c r="A8" s="1">
        <v>45907</v>
      </c>
      <c r="B8">
        <v>55717</v>
      </c>
      <c r="E8" s="11" t="s">
        <v>51</v>
      </c>
    </row>
    <row r="9" spans="1:5">
      <c r="A9" s="1">
        <v>45908</v>
      </c>
      <c r="B9">
        <v>56409</v>
      </c>
    </row>
    <row r="10" spans="1:5">
      <c r="A10" s="1">
        <v>45909</v>
      </c>
      <c r="B10">
        <v>55777</v>
      </c>
    </row>
    <row r="11" spans="1:5">
      <c r="A11" s="1">
        <v>45910</v>
      </c>
      <c r="B11">
        <v>55489</v>
      </c>
    </row>
    <row r="12" spans="1:5">
      <c r="A12" s="1">
        <v>45911</v>
      </c>
      <c r="B12">
        <v>57154</v>
      </c>
    </row>
    <row r="13" spans="1:5">
      <c r="A13" s="1">
        <v>45912</v>
      </c>
      <c r="B13">
        <v>57065</v>
      </c>
    </row>
    <row r="14" spans="1:5">
      <c r="A14" s="1">
        <v>45913</v>
      </c>
      <c r="B14">
        <v>57936</v>
      </c>
    </row>
    <row r="15" spans="1:5">
      <c r="A15" s="1">
        <v>45914</v>
      </c>
      <c r="B15">
        <v>58312</v>
      </c>
    </row>
    <row r="16" spans="1:5">
      <c r="A16" s="1">
        <v>45915</v>
      </c>
      <c r="B16">
        <v>58972</v>
      </c>
    </row>
    <row r="17" spans="1:2">
      <c r="A17" s="1">
        <v>45916</v>
      </c>
      <c r="B17">
        <v>58921</v>
      </c>
    </row>
    <row r="18" spans="1:2">
      <c r="A18" s="1">
        <v>45917</v>
      </c>
      <c r="B18">
        <v>59559</v>
      </c>
    </row>
    <row r="19" spans="1:2">
      <c r="A19" s="1">
        <v>45918</v>
      </c>
      <c r="B19">
        <v>60443</v>
      </c>
    </row>
    <row r="20" spans="1:2">
      <c r="A20" s="1">
        <v>45919</v>
      </c>
      <c r="B20">
        <v>58914</v>
      </c>
    </row>
    <row r="21" spans="1:2">
      <c r="A21" s="1">
        <v>45920</v>
      </c>
      <c r="B21">
        <v>58186</v>
      </c>
    </row>
    <row r="22" spans="1:2">
      <c r="A22" s="1">
        <v>45921</v>
      </c>
      <c r="B22">
        <v>56307</v>
      </c>
    </row>
    <row r="23" spans="1:2">
      <c r="A23" s="1">
        <v>45922</v>
      </c>
      <c r="B23">
        <v>56253</v>
      </c>
    </row>
    <row r="24" spans="1:2">
      <c r="A24" s="1">
        <v>45923</v>
      </c>
      <c r="B24">
        <v>60307</v>
      </c>
    </row>
    <row r="25" spans="1:2">
      <c r="A25" s="1">
        <v>45924</v>
      </c>
      <c r="B25">
        <v>57185</v>
      </c>
    </row>
    <row r="26" spans="1:2">
      <c r="A26" s="1">
        <v>45925</v>
      </c>
      <c r="B26">
        <v>57359</v>
      </c>
    </row>
    <row r="27" spans="1:2">
      <c r="A27" s="1">
        <v>45926</v>
      </c>
      <c r="B27">
        <v>54476</v>
      </c>
    </row>
    <row r="28" spans="1:2">
      <c r="A28" s="1">
        <v>45927</v>
      </c>
      <c r="B28">
        <v>54850</v>
      </c>
    </row>
    <row r="29" spans="1:2">
      <c r="A29" s="1">
        <v>45928</v>
      </c>
      <c r="B29">
        <v>55466</v>
      </c>
    </row>
    <row r="30" spans="1:2">
      <c r="A30" s="1">
        <v>45929</v>
      </c>
      <c r="B30">
        <v>53483</v>
      </c>
    </row>
    <row r="31" spans="1:2">
      <c r="A31" s="1">
        <v>45930</v>
      </c>
      <c r="B31">
        <v>51309</v>
      </c>
    </row>
    <row r="32" spans="1:2">
      <c r="A32" s="1">
        <v>45931</v>
      </c>
      <c r="B32">
        <v>53102</v>
      </c>
    </row>
    <row r="33" spans="1:2">
      <c r="A33" s="1">
        <v>45931</v>
      </c>
      <c r="B33">
        <v>53102</v>
      </c>
    </row>
    <row r="34" spans="1:2">
      <c r="A34" s="1">
        <v>45932</v>
      </c>
      <c r="B34">
        <v>53346</v>
      </c>
    </row>
    <row r="35" spans="1:2">
      <c r="A35" s="1">
        <v>45933</v>
      </c>
      <c r="B35">
        <v>55178</v>
      </c>
    </row>
    <row r="36" spans="1:2">
      <c r="A36" s="1">
        <v>45934</v>
      </c>
      <c r="B36">
        <v>58751</v>
      </c>
    </row>
    <row r="37" spans="1:2">
      <c r="A37" s="1">
        <v>45935</v>
      </c>
      <c r="B37">
        <v>59634</v>
      </c>
    </row>
    <row r="38" spans="1:2">
      <c r="A38" s="1">
        <v>45936</v>
      </c>
      <c r="B38">
        <v>56718</v>
      </c>
    </row>
    <row r="39" spans="1:2">
      <c r="A39" s="1">
        <v>45937</v>
      </c>
      <c r="B39">
        <v>55295</v>
      </c>
    </row>
    <row r="40" spans="1:2">
      <c r="A40" s="1">
        <v>45938</v>
      </c>
      <c r="B40">
        <v>55517</v>
      </c>
    </row>
    <row r="41" spans="1:2">
      <c r="A41" s="1">
        <v>45939</v>
      </c>
      <c r="B41">
        <v>56434</v>
      </c>
    </row>
    <row r="42" spans="1:2">
      <c r="A42" s="1">
        <v>45940</v>
      </c>
      <c r="B42">
        <v>51809</v>
      </c>
    </row>
    <row r="43" spans="1:2">
      <c r="A43" s="1">
        <v>45941</v>
      </c>
      <c r="B43">
        <v>53777</v>
      </c>
    </row>
    <row r="44" spans="1:2">
      <c r="A44" s="1">
        <v>45942</v>
      </c>
      <c r="B44">
        <v>52929</v>
      </c>
    </row>
    <row r="45" spans="1:2">
      <c r="A45" s="1">
        <v>45943</v>
      </c>
      <c r="B45">
        <v>57019</v>
      </c>
    </row>
    <row r="46" spans="1:2">
      <c r="A46" s="1">
        <v>45944</v>
      </c>
      <c r="B46">
        <v>57137</v>
      </c>
    </row>
    <row r="47" spans="1:2">
      <c r="A47" s="1">
        <v>45945</v>
      </c>
      <c r="B47">
        <v>57234</v>
      </c>
    </row>
    <row r="48" spans="1:2">
      <c r="A48" s="1">
        <v>45946</v>
      </c>
      <c r="B48">
        <v>59680</v>
      </c>
    </row>
    <row r="49" spans="1:2">
      <c r="A49" s="1">
        <v>45947</v>
      </c>
      <c r="B49">
        <v>60175</v>
      </c>
    </row>
    <row r="50" spans="1:2">
      <c r="A50" s="1">
        <v>45948</v>
      </c>
      <c r="B50">
        <v>60728</v>
      </c>
    </row>
    <row r="51" spans="1:2">
      <c r="A51" s="1">
        <v>45949</v>
      </c>
      <c r="B51">
        <v>60151</v>
      </c>
    </row>
    <row r="52" spans="1:2">
      <c r="A52" s="1">
        <v>45950</v>
      </c>
      <c r="B52">
        <v>60227</v>
      </c>
    </row>
    <row r="53" spans="1:2">
      <c r="A53" s="1">
        <v>45951</v>
      </c>
      <c r="B53">
        <v>60183</v>
      </c>
    </row>
    <row r="54" spans="1:2">
      <c r="A54" s="1">
        <v>45952</v>
      </c>
      <c r="B54">
        <v>60372</v>
      </c>
    </row>
    <row r="55" spans="1:2">
      <c r="A55" s="1">
        <v>45953</v>
      </c>
      <c r="B55">
        <v>56614</v>
      </c>
    </row>
    <row r="56" spans="1:2">
      <c r="A56" s="1">
        <v>45954</v>
      </c>
      <c r="B56">
        <v>55497</v>
      </c>
    </row>
    <row r="57" spans="1:2">
      <c r="A57" s="1">
        <v>45955</v>
      </c>
      <c r="B57">
        <v>56243</v>
      </c>
    </row>
    <row r="58" spans="1:2">
      <c r="A58" s="1">
        <v>45956</v>
      </c>
      <c r="B58">
        <v>58910</v>
      </c>
    </row>
    <row r="59" spans="1:2">
      <c r="A59" s="1">
        <v>45957</v>
      </c>
      <c r="B59">
        <v>59103</v>
      </c>
    </row>
    <row r="60" spans="1:2">
      <c r="A60" s="1">
        <v>45958</v>
      </c>
      <c r="B60">
        <v>59166</v>
      </c>
    </row>
    <row r="61" spans="1:2">
      <c r="A61" s="1">
        <v>45959</v>
      </c>
      <c r="B61">
        <v>59547</v>
      </c>
    </row>
    <row r="62" spans="1:2">
      <c r="A62" s="1">
        <v>45960</v>
      </c>
      <c r="B62">
        <v>60400</v>
      </c>
    </row>
    <row r="63" spans="1:2">
      <c r="A63" s="1">
        <v>45961</v>
      </c>
      <c r="B63">
        <v>58920</v>
      </c>
    </row>
    <row r="64" spans="1:2">
      <c r="A64" s="1">
        <v>45962</v>
      </c>
      <c r="B64">
        <v>59443</v>
      </c>
    </row>
    <row r="65" spans="1:2">
      <c r="A65" s="1">
        <v>45963</v>
      </c>
      <c r="B65">
        <v>58655</v>
      </c>
    </row>
    <row r="66" spans="1:2">
      <c r="A66" s="1">
        <v>45964</v>
      </c>
      <c r="B66">
        <v>60084</v>
      </c>
    </row>
    <row r="67" spans="1:2">
      <c r="A67" s="1">
        <v>45965</v>
      </c>
      <c r="B67">
        <v>59198</v>
      </c>
    </row>
    <row r="68" spans="1:2">
      <c r="A68" s="1">
        <v>45966</v>
      </c>
      <c r="B68">
        <v>57272</v>
      </c>
    </row>
    <row r="69" spans="1:2">
      <c r="A69" s="1">
        <v>45967</v>
      </c>
      <c r="B69">
        <v>57185</v>
      </c>
    </row>
    <row r="70" spans="1:2">
      <c r="A70" s="1">
        <v>45968</v>
      </c>
      <c r="B70">
        <v>57131</v>
      </c>
    </row>
    <row r="71" spans="1:2">
      <c r="A71" s="1">
        <v>45969</v>
      </c>
      <c r="B71">
        <v>56110</v>
      </c>
    </row>
    <row r="72" spans="1:2">
      <c r="A72" s="1">
        <v>45970</v>
      </c>
      <c r="B72">
        <v>56717</v>
      </c>
    </row>
    <row r="73" spans="1:2">
      <c r="A73" s="1">
        <v>45971</v>
      </c>
      <c r="B73">
        <v>59970</v>
      </c>
    </row>
    <row r="74" spans="1:2">
      <c r="A74" s="1">
        <v>45972</v>
      </c>
      <c r="B74">
        <v>60437</v>
      </c>
    </row>
    <row r="75" spans="1:2">
      <c r="A75" s="1">
        <v>45973</v>
      </c>
      <c r="B75">
        <v>60744</v>
      </c>
    </row>
    <row r="76" spans="1:2">
      <c r="A76" s="1">
        <v>45974</v>
      </c>
      <c r="B76">
        <v>60391</v>
      </c>
    </row>
    <row r="77" spans="1:2">
      <c r="A77" s="1">
        <v>45975</v>
      </c>
      <c r="B77">
        <v>59879</v>
      </c>
    </row>
    <row r="78" spans="1:2">
      <c r="A78" s="1">
        <v>45976</v>
      </c>
      <c r="B78">
        <v>59829</v>
      </c>
    </row>
    <row r="79" spans="1:2">
      <c r="A79" s="1">
        <v>45977</v>
      </c>
      <c r="B79">
        <v>60635</v>
      </c>
    </row>
    <row r="80" spans="1:2">
      <c r="A80" s="1">
        <v>45978</v>
      </c>
      <c r="B80">
        <v>61126</v>
      </c>
    </row>
    <row r="81" spans="1:2">
      <c r="A81" s="1">
        <v>45979</v>
      </c>
      <c r="B81">
        <v>61237</v>
      </c>
    </row>
    <row r="82" spans="1:2">
      <c r="A82" s="1">
        <v>45980</v>
      </c>
      <c r="B82">
        <v>60594</v>
      </c>
    </row>
    <row r="83" spans="1:2">
      <c r="A83" s="1">
        <v>45981</v>
      </c>
      <c r="B83">
        <v>59704</v>
      </c>
    </row>
    <row r="84" spans="1:2">
      <c r="A84" s="1">
        <v>45982</v>
      </c>
      <c r="B84">
        <v>58344</v>
      </c>
    </row>
    <row r="85" spans="1:2">
      <c r="A85" s="1">
        <v>45983</v>
      </c>
      <c r="B85">
        <v>55234</v>
      </c>
    </row>
    <row r="86" spans="1:2">
      <c r="A86" s="1">
        <v>45984</v>
      </c>
      <c r="B86">
        <v>56366</v>
      </c>
    </row>
    <row r="87" spans="1:2">
      <c r="A87" s="1">
        <v>45985</v>
      </c>
      <c r="B87">
        <v>54231</v>
      </c>
    </row>
    <row r="88" spans="1:2">
      <c r="A88" s="1">
        <v>45986</v>
      </c>
      <c r="B88">
        <v>52637</v>
      </c>
    </row>
    <row r="89" spans="1:2">
      <c r="A89" s="1">
        <v>45987</v>
      </c>
      <c r="B89">
        <v>59576</v>
      </c>
    </row>
    <row r="90" spans="1:2">
      <c r="A90" s="1">
        <v>45988</v>
      </c>
      <c r="B90">
        <v>57971</v>
      </c>
    </row>
    <row r="91" spans="1:2">
      <c r="A91" s="1">
        <v>45989</v>
      </c>
      <c r="B91">
        <v>58826</v>
      </c>
    </row>
    <row r="92" spans="1:2">
      <c r="A92" s="1">
        <v>45990</v>
      </c>
      <c r="B92">
        <v>55465</v>
      </c>
    </row>
    <row r="93" spans="1:2">
      <c r="A93" s="1">
        <v>45991</v>
      </c>
      <c r="B93">
        <v>54891</v>
      </c>
    </row>
    <row r="94" spans="1:2">
      <c r="A94" s="1">
        <v>45992</v>
      </c>
      <c r="B94">
        <v>57254</v>
      </c>
    </row>
    <row r="95" spans="1:2">
      <c r="A95" s="1">
        <v>45993</v>
      </c>
      <c r="B95">
        <v>59454</v>
      </c>
    </row>
    <row r="96" spans="1:2">
      <c r="A96" s="1">
        <v>45994</v>
      </c>
      <c r="B96">
        <v>58720</v>
      </c>
    </row>
    <row r="97" spans="1:2">
      <c r="A97" s="1">
        <v>45995</v>
      </c>
      <c r="B97">
        <v>55570</v>
      </c>
    </row>
    <row r="98" spans="1:2">
      <c r="A98" s="1">
        <v>45996</v>
      </c>
      <c r="B98">
        <v>58537</v>
      </c>
    </row>
    <row r="99" spans="1:2">
      <c r="A99" s="1">
        <v>45997</v>
      </c>
      <c r="B99">
        <v>61912</v>
      </c>
    </row>
    <row r="100" spans="1:2">
      <c r="A100" s="1">
        <v>45998</v>
      </c>
      <c r="B100">
        <v>60057</v>
      </c>
    </row>
    <row r="101" spans="1:2">
      <c r="A101" s="1">
        <v>45999</v>
      </c>
      <c r="B101">
        <v>55441</v>
      </c>
    </row>
    <row r="102" spans="1:2">
      <c r="A102" s="1">
        <v>46000</v>
      </c>
      <c r="B102">
        <v>52322</v>
      </c>
    </row>
    <row r="103" spans="1:2">
      <c r="A103" s="1">
        <v>46001</v>
      </c>
      <c r="B103">
        <v>52425</v>
      </c>
    </row>
    <row r="104" spans="1:2">
      <c r="A104" s="1">
        <v>46002</v>
      </c>
      <c r="B104">
        <v>57136</v>
      </c>
    </row>
    <row r="105" spans="1:2">
      <c r="A105" s="1">
        <v>46003</v>
      </c>
      <c r="B105">
        <v>56271</v>
      </c>
    </row>
    <row r="106" spans="1:2">
      <c r="A106" s="1">
        <v>46004</v>
      </c>
      <c r="B106">
        <v>56243</v>
      </c>
    </row>
    <row r="107" spans="1:2">
      <c r="A107" s="1">
        <v>46005</v>
      </c>
      <c r="B107">
        <v>56429</v>
      </c>
    </row>
    <row r="108" spans="1:2">
      <c r="A108" s="1">
        <v>46006</v>
      </c>
      <c r="B108">
        <v>58496</v>
      </c>
    </row>
    <row r="109" spans="1:2">
      <c r="A109" s="1">
        <v>46007</v>
      </c>
      <c r="B109">
        <v>60699</v>
      </c>
    </row>
    <row r="110" spans="1:2">
      <c r="A110" s="1">
        <v>46008</v>
      </c>
      <c r="B110">
        <v>60889</v>
      </c>
    </row>
    <row r="111" spans="1:2">
      <c r="A111" s="1">
        <v>46009</v>
      </c>
      <c r="B111">
        <v>59233</v>
      </c>
    </row>
    <row r="112" spans="1:2">
      <c r="A112" s="1">
        <v>46010</v>
      </c>
      <c r="B112">
        <v>60732</v>
      </c>
    </row>
    <row r="113" spans="1:2">
      <c r="A113" s="1">
        <v>46011</v>
      </c>
      <c r="B113">
        <v>60234</v>
      </c>
    </row>
    <row r="114" spans="1:2">
      <c r="A114" s="1">
        <v>46012</v>
      </c>
      <c r="B114">
        <v>60238</v>
      </c>
    </row>
    <row r="115" spans="1:2">
      <c r="A115" s="1">
        <v>46013</v>
      </c>
      <c r="B115">
        <v>61110</v>
      </c>
    </row>
    <row r="116" spans="1:2">
      <c r="A116" s="1">
        <v>46014</v>
      </c>
      <c r="B116">
        <v>61800</v>
      </c>
    </row>
    <row r="117" spans="1:2">
      <c r="A117" s="1">
        <v>46015</v>
      </c>
      <c r="B117">
        <v>62405</v>
      </c>
    </row>
    <row r="118" spans="1:2">
      <c r="A118" s="1">
        <v>46016</v>
      </c>
      <c r="B118">
        <v>61089</v>
      </c>
    </row>
    <row r="119" spans="1:2">
      <c r="A119" s="1">
        <v>46017</v>
      </c>
      <c r="B119">
        <v>60791</v>
      </c>
    </row>
    <row r="120" spans="1:2">
      <c r="A120" s="1">
        <v>46018</v>
      </c>
      <c r="B120">
        <v>60354</v>
      </c>
    </row>
    <row r="121" spans="1:2">
      <c r="A121" s="1">
        <v>46019</v>
      </c>
      <c r="B121">
        <v>59726</v>
      </c>
    </row>
    <row r="122" spans="1:2">
      <c r="A122" s="1">
        <v>46020</v>
      </c>
      <c r="B122">
        <v>60969</v>
      </c>
    </row>
    <row r="123" spans="1:2">
      <c r="A123" s="1">
        <v>46021</v>
      </c>
      <c r="B123">
        <v>61095</v>
      </c>
    </row>
    <row r="124" spans="1:2">
      <c r="A124" s="1">
        <v>46022</v>
      </c>
      <c r="B124">
        <v>61737</v>
      </c>
    </row>
    <row r="125" spans="1:2">
      <c r="A125" s="1">
        <v>46023</v>
      </c>
      <c r="B125">
        <v>59521</v>
      </c>
    </row>
    <row r="126" spans="1:2">
      <c r="A126" s="1">
        <v>46024</v>
      </c>
      <c r="B126">
        <v>60546</v>
      </c>
    </row>
    <row r="127" spans="1:2">
      <c r="A127" s="1">
        <v>46025</v>
      </c>
      <c r="B127">
        <v>57178</v>
      </c>
    </row>
    <row r="128" spans="1:2">
      <c r="A128" s="1">
        <v>46026</v>
      </c>
      <c r="B128">
        <v>52858</v>
      </c>
    </row>
    <row r="129" spans="1:2">
      <c r="A129" s="1">
        <v>46027</v>
      </c>
      <c r="B129">
        <v>51573</v>
      </c>
    </row>
    <row r="130" spans="1:2">
      <c r="A130" s="1">
        <v>46028</v>
      </c>
      <c r="B130">
        <v>48951</v>
      </c>
    </row>
    <row r="131" spans="1:2">
      <c r="A131" s="1">
        <v>46029</v>
      </c>
      <c r="B131">
        <v>59010</v>
      </c>
    </row>
    <row r="132" spans="1:2">
      <c r="A132" s="1">
        <v>46030</v>
      </c>
      <c r="B132">
        <v>60659</v>
      </c>
    </row>
    <row r="133" spans="1:2">
      <c r="A133" s="1">
        <v>46031</v>
      </c>
      <c r="B133">
        <v>60929</v>
      </c>
    </row>
    <row r="134" spans="1:2">
      <c r="A134" s="1">
        <v>46032</v>
      </c>
      <c r="B134">
        <v>60801</v>
      </c>
    </row>
    <row r="135" spans="1:2">
      <c r="A135" s="1">
        <v>46033</v>
      </c>
      <c r="B135">
        <v>57563</v>
      </c>
    </row>
    <row r="136" spans="1:2">
      <c r="A136" s="1">
        <v>46034</v>
      </c>
      <c r="B136">
        <v>58106</v>
      </c>
    </row>
    <row r="137" spans="1:2">
      <c r="A137" s="1">
        <v>46035</v>
      </c>
      <c r="B137">
        <v>59597</v>
      </c>
    </row>
    <row r="138" spans="1:2">
      <c r="A138" s="1">
        <v>46036</v>
      </c>
      <c r="B138">
        <v>58764</v>
      </c>
    </row>
    <row r="139" spans="1:2">
      <c r="A139" s="1">
        <v>46037</v>
      </c>
      <c r="B139">
        <v>58803</v>
      </c>
    </row>
    <row r="140" spans="1:2">
      <c r="A140" s="1">
        <v>46038</v>
      </c>
      <c r="B140">
        <v>58443</v>
      </c>
    </row>
    <row r="141" spans="1:2">
      <c r="A141" s="1">
        <v>46039</v>
      </c>
      <c r="B141">
        <v>57641</v>
      </c>
    </row>
    <row r="142" spans="1:2">
      <c r="A142" s="1">
        <v>46040</v>
      </c>
      <c r="B142">
        <v>59152</v>
      </c>
    </row>
    <row r="143" spans="1:2">
      <c r="A143" s="1">
        <v>46041</v>
      </c>
      <c r="B143">
        <v>58359</v>
      </c>
    </row>
    <row r="144" spans="1:2">
      <c r="A144" s="1">
        <v>46042</v>
      </c>
      <c r="B144">
        <v>59902</v>
      </c>
    </row>
    <row r="145" spans="1:2">
      <c r="A145" s="1">
        <v>46043</v>
      </c>
      <c r="B145">
        <v>59375</v>
      </c>
    </row>
    <row r="146" spans="1:2">
      <c r="A146" s="1">
        <v>46044</v>
      </c>
      <c r="B146">
        <v>60262</v>
      </c>
    </row>
    <row r="147" spans="1:2">
      <c r="A147" s="1">
        <v>46045</v>
      </c>
      <c r="B147">
        <v>60785</v>
      </c>
    </row>
    <row r="148" spans="1:2">
      <c r="A148" s="1">
        <v>46046</v>
      </c>
      <c r="B148">
        <v>61513</v>
      </c>
    </row>
    <row r="149" spans="1:2">
      <c r="A149" s="1">
        <v>46047</v>
      </c>
      <c r="B149">
        <v>61984</v>
      </c>
    </row>
    <row r="150" spans="1:2">
      <c r="A150" s="1">
        <v>46048</v>
      </c>
      <c r="B150">
        <v>59239</v>
      </c>
    </row>
    <row r="151" spans="1:2">
      <c r="A151" s="1">
        <v>46049</v>
      </c>
      <c r="B151">
        <v>58261</v>
      </c>
    </row>
    <row r="152" spans="1:2">
      <c r="A152" s="1">
        <v>46050</v>
      </c>
      <c r="B152">
        <v>59417</v>
      </c>
    </row>
    <row r="153" spans="1:2">
      <c r="A153" s="1">
        <v>46051</v>
      </c>
      <c r="B153">
        <v>55853</v>
      </c>
    </row>
    <row r="154" spans="1:2">
      <c r="A154" s="1">
        <v>46052</v>
      </c>
      <c r="B154">
        <v>53084</v>
      </c>
    </row>
    <row r="155" spans="1:2">
      <c r="A155" s="1">
        <v>46053</v>
      </c>
      <c r="B155">
        <v>53421</v>
      </c>
    </row>
    <row r="156" spans="1:2">
      <c r="A156" s="1">
        <v>46054</v>
      </c>
      <c r="B156">
        <v>51275</v>
      </c>
    </row>
    <row r="157" spans="1:2">
      <c r="A157" s="1">
        <v>46055</v>
      </c>
      <c r="B157">
        <v>52460</v>
      </c>
    </row>
    <row r="158" spans="1:2">
      <c r="A158" s="1">
        <v>46056</v>
      </c>
      <c r="B158">
        <v>51342</v>
      </c>
    </row>
    <row r="159" spans="1:2">
      <c r="A159" s="1">
        <v>46057</v>
      </c>
      <c r="B159">
        <v>53057</v>
      </c>
    </row>
    <row r="160" spans="1:2">
      <c r="A160" s="1">
        <v>46058</v>
      </c>
      <c r="B160">
        <v>54614</v>
      </c>
    </row>
    <row r="161" spans="1:2">
      <c r="A161" s="1">
        <v>46059</v>
      </c>
      <c r="B161">
        <v>58152</v>
      </c>
    </row>
    <row r="162" spans="1:2">
      <c r="A162" s="1">
        <v>46060</v>
      </c>
      <c r="B162">
        <v>57870</v>
      </c>
    </row>
    <row r="163" spans="1:2">
      <c r="A163" s="1">
        <v>46061</v>
      </c>
      <c r="B163">
        <v>60404</v>
      </c>
    </row>
    <row r="164" spans="1:2">
      <c r="A164" s="1">
        <v>46062</v>
      </c>
      <c r="B164">
        <v>59531</v>
      </c>
    </row>
    <row r="165" spans="1:2">
      <c r="A165" s="1">
        <v>46063</v>
      </c>
      <c r="B165">
        <v>58159</v>
      </c>
    </row>
    <row r="166" spans="1:2">
      <c r="A166" s="1">
        <v>46064</v>
      </c>
      <c r="B166">
        <v>55917</v>
      </c>
    </row>
    <row r="167" spans="1:2">
      <c r="A167" s="1">
        <v>46065</v>
      </c>
      <c r="B167">
        <v>56153</v>
      </c>
    </row>
    <row r="168" spans="1:2">
      <c r="A168" s="1">
        <v>46066</v>
      </c>
      <c r="B168">
        <v>51952</v>
      </c>
    </row>
    <row r="169" spans="1:2">
      <c r="A169" s="1">
        <v>46067</v>
      </c>
      <c r="B169">
        <v>50788</v>
      </c>
    </row>
    <row r="170" spans="1:2">
      <c r="A170" s="1">
        <v>46068</v>
      </c>
      <c r="B170">
        <v>51062</v>
      </c>
    </row>
    <row r="171" spans="1:2">
      <c r="A171" s="1">
        <v>46069</v>
      </c>
      <c r="B171">
        <v>53767</v>
      </c>
    </row>
    <row r="172" spans="1:2">
      <c r="A172" s="1">
        <v>46070</v>
      </c>
      <c r="B172">
        <v>55904</v>
      </c>
    </row>
    <row r="173" spans="1:2">
      <c r="A173" s="1">
        <v>46071</v>
      </c>
      <c r="B173">
        <v>59616</v>
      </c>
    </row>
    <row r="174" spans="1:2">
      <c r="A174" s="1">
        <v>46072</v>
      </c>
      <c r="B174">
        <v>58670</v>
      </c>
    </row>
    <row r="175" spans="1:2">
      <c r="A175" s="1">
        <v>46073</v>
      </c>
      <c r="B175">
        <v>58075</v>
      </c>
    </row>
    <row r="176" spans="1:2">
      <c r="A176" s="1">
        <v>46074</v>
      </c>
      <c r="B176">
        <v>57147</v>
      </c>
    </row>
    <row r="177" spans="1:2">
      <c r="A177" s="1">
        <v>46075</v>
      </c>
      <c r="B177">
        <v>56058</v>
      </c>
    </row>
    <row r="178" spans="1:2">
      <c r="A178" s="1">
        <v>46076</v>
      </c>
      <c r="B178">
        <v>56543</v>
      </c>
    </row>
    <row r="179" spans="1:2">
      <c r="A179" s="1">
        <v>46077</v>
      </c>
      <c r="B179">
        <v>55168</v>
      </c>
    </row>
    <row r="180" spans="1:2">
      <c r="A180" s="1">
        <v>46078</v>
      </c>
      <c r="B180">
        <v>57607</v>
      </c>
    </row>
    <row r="181" spans="1:2">
      <c r="A181" s="1">
        <v>46079</v>
      </c>
      <c r="B181">
        <v>56754</v>
      </c>
    </row>
    <row r="182" spans="1:2">
      <c r="A182" s="1">
        <v>46080</v>
      </c>
      <c r="B182">
        <v>57536</v>
      </c>
    </row>
    <row r="183" spans="1:2">
      <c r="A183" s="1">
        <v>46081</v>
      </c>
      <c r="B183">
        <v>59022</v>
      </c>
    </row>
    <row r="184" spans="1:2">
      <c r="A184" s="1">
        <v>46082</v>
      </c>
      <c r="B184">
        <v>60342</v>
      </c>
    </row>
    <row r="185" spans="1:2">
      <c r="A185" s="1">
        <v>46083</v>
      </c>
      <c r="B185">
        <v>62436</v>
      </c>
    </row>
    <row r="186" spans="1:2">
      <c r="A186" s="1">
        <v>46084</v>
      </c>
      <c r="B186">
        <v>59597</v>
      </c>
    </row>
    <row r="187" spans="1:2">
      <c r="A187" s="1">
        <v>46085</v>
      </c>
      <c r="B187">
        <v>58832</v>
      </c>
    </row>
    <row r="188" spans="1:2">
      <c r="A188" s="1">
        <v>46086</v>
      </c>
      <c r="B188">
        <v>56231</v>
      </c>
    </row>
    <row r="189" spans="1:2">
      <c r="A189" s="1">
        <v>46087</v>
      </c>
      <c r="B189">
        <v>54391</v>
      </c>
    </row>
    <row r="190" spans="1:2">
      <c r="A190" s="1">
        <v>46088</v>
      </c>
      <c r="B190">
        <v>55258</v>
      </c>
    </row>
    <row r="191" spans="1:2">
      <c r="A191" s="1">
        <v>46089</v>
      </c>
      <c r="B191">
        <v>52217</v>
      </c>
    </row>
    <row r="192" spans="1:2">
      <c r="A192" s="1">
        <v>46090</v>
      </c>
      <c r="B192">
        <v>52540</v>
      </c>
    </row>
    <row r="193" spans="1:2">
      <c r="A193" s="1">
        <v>46091</v>
      </c>
      <c r="B193">
        <v>55867</v>
      </c>
    </row>
    <row r="194" spans="1:2">
      <c r="A194" s="1">
        <v>46092</v>
      </c>
      <c r="B194">
        <v>57644</v>
      </c>
    </row>
    <row r="195" spans="1:2">
      <c r="A195" s="1">
        <v>46093</v>
      </c>
      <c r="B195">
        <v>58220</v>
      </c>
    </row>
    <row r="196" spans="1:2">
      <c r="A196" s="1">
        <v>46094</v>
      </c>
      <c r="B196">
        <v>60461</v>
      </c>
    </row>
    <row r="197" spans="1:2">
      <c r="A197" s="1">
        <v>46095</v>
      </c>
      <c r="B197">
        <v>58530</v>
      </c>
    </row>
    <row r="198" spans="1:2">
      <c r="A198" s="1">
        <v>46096</v>
      </c>
      <c r="B198">
        <v>60016</v>
      </c>
    </row>
    <row r="199" spans="1:2">
      <c r="A199" s="1">
        <v>46097</v>
      </c>
      <c r="B199">
        <v>58895</v>
      </c>
    </row>
    <row r="200" spans="1:2">
      <c r="A200" s="1">
        <v>46098</v>
      </c>
      <c r="B200">
        <v>56218</v>
      </c>
    </row>
    <row r="201" spans="1:2">
      <c r="A201" s="1">
        <v>46099</v>
      </c>
      <c r="B201">
        <v>57020</v>
      </c>
    </row>
    <row r="202" spans="1:2">
      <c r="A202" s="1">
        <v>46100</v>
      </c>
      <c r="B202">
        <v>58730</v>
      </c>
    </row>
    <row r="203" spans="1:2">
      <c r="A203" s="1">
        <v>46101</v>
      </c>
      <c r="B203">
        <v>57692</v>
      </c>
    </row>
    <row r="204" spans="1:2">
      <c r="A204" s="1">
        <v>46102</v>
      </c>
      <c r="B204">
        <v>57418</v>
      </c>
    </row>
    <row r="205" spans="1:2">
      <c r="A205" s="1">
        <v>46103</v>
      </c>
      <c r="B205">
        <v>58660</v>
      </c>
    </row>
    <row r="206" spans="1:2">
      <c r="A206" s="1">
        <v>46104</v>
      </c>
      <c r="B206">
        <v>59945</v>
      </c>
    </row>
    <row r="207" spans="1:2">
      <c r="A207" s="1">
        <v>46105</v>
      </c>
      <c r="B207">
        <v>58754</v>
      </c>
    </row>
    <row r="208" spans="1:2">
      <c r="A208" s="1">
        <v>46106</v>
      </c>
      <c r="B208">
        <v>57180</v>
      </c>
    </row>
    <row r="209" spans="1:2">
      <c r="A209" s="1">
        <v>46107</v>
      </c>
      <c r="B209">
        <v>51341</v>
      </c>
    </row>
    <row r="210" spans="1:2">
      <c r="A210" s="1">
        <v>46108</v>
      </c>
      <c r="B210">
        <v>53056</v>
      </c>
    </row>
    <row r="211" spans="1:2">
      <c r="A211" s="1">
        <v>46109</v>
      </c>
      <c r="B211">
        <v>53446</v>
      </c>
    </row>
    <row r="212" spans="1:2">
      <c r="A212" s="1">
        <v>46110</v>
      </c>
      <c r="B212">
        <v>58382</v>
      </c>
    </row>
    <row r="213" spans="1:2">
      <c r="A213" s="1">
        <v>46111</v>
      </c>
      <c r="B213">
        <v>57686</v>
      </c>
    </row>
    <row r="214" spans="1:2">
      <c r="A214" s="1">
        <v>46112</v>
      </c>
      <c r="B214">
        <v>56610</v>
      </c>
    </row>
    <row r="215" spans="1:2">
      <c r="A215" s="1">
        <v>46113</v>
      </c>
      <c r="B215">
        <v>56317</v>
      </c>
    </row>
    <row r="216" spans="1:2">
      <c r="A216" s="1">
        <v>46114</v>
      </c>
      <c r="B216">
        <v>56911</v>
      </c>
    </row>
    <row r="217" spans="1:2">
      <c r="A217" s="1">
        <v>46115</v>
      </c>
      <c r="B217">
        <v>55947</v>
      </c>
    </row>
    <row r="218" spans="1:2">
      <c r="A218" s="1">
        <v>46116</v>
      </c>
      <c r="B218">
        <v>56455</v>
      </c>
    </row>
    <row r="219" spans="1:2">
      <c r="A219" s="1">
        <v>46117</v>
      </c>
      <c r="B219">
        <v>60842</v>
      </c>
    </row>
    <row r="220" spans="1:2">
      <c r="A220" s="1">
        <v>46118</v>
      </c>
      <c r="B220">
        <v>60014</v>
      </c>
    </row>
    <row r="221" spans="1:2">
      <c r="A221" s="1">
        <v>46119</v>
      </c>
      <c r="B221">
        <v>59616</v>
      </c>
    </row>
    <row r="222" spans="1:2">
      <c r="A222" s="1">
        <v>46120</v>
      </c>
      <c r="B222">
        <v>58450</v>
      </c>
    </row>
    <row r="223" spans="1:2">
      <c r="A223" s="1">
        <v>46121</v>
      </c>
      <c r="B223">
        <v>59674</v>
      </c>
    </row>
    <row r="224" spans="1:2">
      <c r="A224" s="1">
        <v>46122</v>
      </c>
      <c r="B224">
        <v>59306</v>
      </c>
    </row>
    <row r="225" spans="1:2">
      <c r="A225" s="1">
        <v>46123</v>
      </c>
      <c r="B225">
        <v>60444</v>
      </c>
    </row>
    <row r="226" spans="1:2">
      <c r="A226" s="1">
        <v>46124</v>
      </c>
      <c r="B226">
        <v>61149</v>
      </c>
    </row>
    <row r="227" spans="1:2">
      <c r="A227" s="1">
        <v>46125</v>
      </c>
      <c r="B227">
        <v>61488</v>
      </c>
    </row>
    <row r="228" spans="1:2">
      <c r="A228" s="1">
        <v>46126</v>
      </c>
      <c r="B228">
        <v>60118</v>
      </c>
    </row>
    <row r="229" spans="1:2">
      <c r="A229" s="1">
        <v>46127</v>
      </c>
      <c r="B229">
        <v>57310</v>
      </c>
    </row>
    <row r="230" spans="1:2">
      <c r="A230" s="1">
        <v>46128</v>
      </c>
      <c r="B230">
        <v>54815</v>
      </c>
    </row>
    <row r="231" spans="1:2">
      <c r="A231" s="1">
        <v>46129</v>
      </c>
      <c r="B231">
        <v>56568</v>
      </c>
    </row>
    <row r="232" spans="1:2">
      <c r="A232" s="1">
        <v>46130</v>
      </c>
      <c r="B232">
        <v>61859</v>
      </c>
    </row>
    <row r="233" spans="1:2">
      <c r="A233" s="1">
        <v>46131</v>
      </c>
      <c r="B233">
        <v>61185</v>
      </c>
    </row>
    <row r="234" spans="1:2">
      <c r="A234" s="1">
        <v>46132</v>
      </c>
      <c r="B234">
        <v>57289</v>
      </c>
    </row>
    <row r="235" spans="1:2">
      <c r="A235" s="1">
        <v>46133</v>
      </c>
      <c r="B235">
        <v>57332</v>
      </c>
    </row>
    <row r="236" spans="1:2">
      <c r="A236" s="1">
        <v>46134</v>
      </c>
      <c r="B236">
        <v>58133</v>
      </c>
    </row>
    <row r="237" spans="1:2">
      <c r="A237" s="1">
        <v>46135</v>
      </c>
      <c r="B237">
        <v>56703</v>
      </c>
    </row>
    <row r="238" spans="1:2">
      <c r="A238" s="1">
        <v>46136</v>
      </c>
      <c r="B238">
        <v>58393</v>
      </c>
    </row>
    <row r="239" spans="1:2">
      <c r="A239" s="1">
        <v>46137</v>
      </c>
      <c r="B239">
        <v>58128</v>
      </c>
    </row>
    <row r="240" spans="1:2">
      <c r="A240" s="1">
        <v>46138</v>
      </c>
      <c r="B240">
        <v>50893</v>
      </c>
    </row>
    <row r="241" spans="1:2">
      <c r="A241" s="1">
        <v>46139</v>
      </c>
      <c r="B241">
        <v>53069</v>
      </c>
    </row>
    <row r="242" spans="1:2">
      <c r="A242" s="1">
        <v>46140</v>
      </c>
      <c r="B242">
        <v>56031</v>
      </c>
    </row>
    <row r="243" spans="1:2">
      <c r="A243" s="1">
        <v>46141</v>
      </c>
      <c r="B243">
        <v>54811</v>
      </c>
    </row>
    <row r="244" spans="1:2">
      <c r="A244" s="1">
        <v>46142</v>
      </c>
      <c r="B244">
        <v>55468</v>
      </c>
    </row>
    <row r="245" spans="1:2">
      <c r="A245" s="1">
        <v>46143</v>
      </c>
      <c r="B245">
        <v>53744</v>
      </c>
    </row>
    <row r="246" spans="1:2">
      <c r="A246" s="1">
        <v>46144</v>
      </c>
      <c r="B246">
        <v>52725</v>
      </c>
    </row>
    <row r="247" spans="1:2">
      <c r="A247" s="1">
        <v>46145</v>
      </c>
      <c r="B247">
        <v>52042</v>
      </c>
    </row>
    <row r="248" spans="1:2">
      <c r="A248" s="1">
        <v>46146</v>
      </c>
      <c r="B248">
        <v>52761</v>
      </c>
    </row>
    <row r="249" spans="1:2">
      <c r="A249" s="1">
        <v>46147</v>
      </c>
      <c r="B249">
        <v>58990</v>
      </c>
    </row>
    <row r="250" spans="1:2">
      <c r="A250" s="1">
        <v>46148</v>
      </c>
      <c r="B250">
        <v>56583</v>
      </c>
    </row>
    <row r="251" spans="1:2">
      <c r="A251" s="1">
        <v>46149</v>
      </c>
      <c r="B251">
        <v>58009</v>
      </c>
    </row>
    <row r="252" spans="1:2">
      <c r="A252" s="1">
        <v>46150</v>
      </c>
      <c r="B252">
        <v>60134</v>
      </c>
    </row>
    <row r="253" spans="1:2">
      <c r="A253" s="1">
        <v>46151</v>
      </c>
      <c r="B253">
        <v>60247</v>
      </c>
    </row>
    <row r="254" spans="1:2">
      <c r="A254" s="1">
        <v>46152</v>
      </c>
      <c r="B254">
        <v>60114</v>
      </c>
    </row>
    <row r="255" spans="1:2">
      <c r="A255" s="1">
        <v>46153</v>
      </c>
      <c r="B255">
        <v>61198</v>
      </c>
    </row>
    <row r="256" spans="1:2">
      <c r="A256" s="1">
        <v>46154</v>
      </c>
      <c r="B256">
        <v>61898</v>
      </c>
    </row>
    <row r="257" spans="1:2">
      <c r="A257" s="1">
        <v>46155</v>
      </c>
      <c r="B257">
        <v>61667</v>
      </c>
    </row>
    <row r="258" spans="1:2">
      <c r="A258" s="1">
        <v>46156</v>
      </c>
      <c r="B258">
        <v>61200</v>
      </c>
    </row>
    <row r="259" spans="1:2">
      <c r="A259" s="1">
        <v>46157</v>
      </c>
      <c r="B259">
        <v>61209</v>
      </c>
    </row>
    <row r="260" spans="1:2">
      <c r="A260" s="1">
        <v>46158</v>
      </c>
      <c r="B260">
        <v>60136</v>
      </c>
    </row>
    <row r="261" spans="1:2">
      <c r="A261" s="1">
        <v>46159</v>
      </c>
      <c r="B261">
        <v>59620</v>
      </c>
    </row>
    <row r="262" spans="1:2">
      <c r="A262" s="1">
        <v>46160</v>
      </c>
      <c r="B262">
        <v>61239</v>
      </c>
    </row>
    <row r="263" spans="1:2">
      <c r="A263" s="1">
        <v>46161</v>
      </c>
      <c r="B263">
        <v>57836</v>
      </c>
    </row>
    <row r="264" spans="1:2">
      <c r="A264" s="1">
        <v>46162</v>
      </c>
      <c r="B264">
        <v>59169</v>
      </c>
    </row>
    <row r="265" spans="1:2">
      <c r="A265" s="1">
        <v>46163</v>
      </c>
      <c r="B265">
        <v>60393</v>
      </c>
    </row>
    <row r="266" spans="1:2">
      <c r="A266" s="1">
        <v>46164</v>
      </c>
      <c r="B266">
        <v>58783</v>
      </c>
    </row>
    <row r="267" spans="1:2">
      <c r="A267" s="1">
        <v>46165</v>
      </c>
      <c r="B267">
        <v>60617</v>
      </c>
    </row>
    <row r="268" spans="1:2">
      <c r="A268" s="1">
        <v>46166</v>
      </c>
      <c r="B268">
        <v>59490</v>
      </c>
    </row>
    <row r="269" spans="1:2">
      <c r="A269" s="1">
        <v>46167</v>
      </c>
      <c r="B269">
        <v>60934</v>
      </c>
    </row>
    <row r="270" spans="1:2">
      <c r="A270" s="1">
        <v>46168</v>
      </c>
      <c r="B270">
        <v>61684</v>
      </c>
    </row>
    <row r="271" spans="1:2">
      <c r="A271" s="1">
        <v>46169</v>
      </c>
      <c r="B271">
        <v>61254</v>
      </c>
    </row>
    <row r="272" spans="1:2">
      <c r="A272" s="1">
        <v>46170</v>
      </c>
      <c r="B272">
        <v>59934</v>
      </c>
    </row>
    <row r="273" spans="1:2">
      <c r="A273" s="1">
        <v>46171</v>
      </c>
      <c r="B273">
        <v>59526</v>
      </c>
    </row>
    <row r="274" spans="1:2">
      <c r="A274" s="1">
        <v>46172</v>
      </c>
      <c r="B274">
        <v>57549</v>
      </c>
    </row>
    <row r="275" spans="1:2">
      <c r="A275" s="1">
        <v>46173</v>
      </c>
      <c r="B275">
        <v>57230</v>
      </c>
    </row>
    <row r="276" spans="1:2">
      <c r="A276" s="1">
        <v>46174</v>
      </c>
      <c r="B276">
        <v>57929</v>
      </c>
    </row>
    <row r="277" spans="1:2">
      <c r="A277" s="1">
        <v>46174</v>
      </c>
      <c r="B277">
        <v>57929</v>
      </c>
    </row>
    <row r="278" spans="1:2">
      <c r="A278" s="1">
        <v>46175</v>
      </c>
      <c r="B278">
        <v>58346</v>
      </c>
    </row>
    <row r="279" spans="1:2">
      <c r="A279" s="1">
        <v>46176</v>
      </c>
      <c r="B279">
        <v>57807</v>
      </c>
    </row>
    <row r="280" spans="1:2">
      <c r="A280" s="1">
        <v>46177</v>
      </c>
      <c r="B280">
        <v>55536</v>
      </c>
    </row>
    <row r="281" spans="1:2">
      <c r="A281" s="1">
        <v>46178</v>
      </c>
      <c r="B281">
        <v>55573</v>
      </c>
    </row>
    <row r="282" spans="1:2">
      <c r="A282" s="1">
        <v>46179</v>
      </c>
      <c r="B282">
        <v>58791</v>
      </c>
    </row>
    <row r="283" spans="1:2">
      <c r="A283" s="1">
        <v>46180</v>
      </c>
      <c r="B283">
        <v>56963</v>
      </c>
    </row>
    <row r="284" spans="1:2">
      <c r="A284" s="1">
        <v>46181</v>
      </c>
      <c r="B284">
        <v>59467</v>
      </c>
    </row>
    <row r="285" spans="1:2">
      <c r="A285" s="1">
        <v>46182</v>
      </c>
      <c r="B285">
        <v>59525</v>
      </c>
    </row>
    <row r="286" spans="1:2">
      <c r="A286" s="1">
        <v>46183</v>
      </c>
      <c r="B286">
        <v>59508</v>
      </c>
    </row>
    <row r="287" spans="1:2">
      <c r="A287" s="1">
        <v>46184</v>
      </c>
      <c r="B287">
        <v>57924</v>
      </c>
    </row>
    <row r="288" spans="1:2">
      <c r="A288" s="1">
        <v>46185</v>
      </c>
      <c r="B288">
        <v>57566</v>
      </c>
    </row>
    <row r="289" spans="1:2">
      <c r="A289" s="1">
        <v>46186</v>
      </c>
      <c r="B289">
        <v>58720</v>
      </c>
    </row>
    <row r="290" spans="1:2">
      <c r="A290" s="1">
        <v>46187</v>
      </c>
      <c r="B290">
        <v>58990</v>
      </c>
    </row>
    <row r="291" spans="1:2">
      <c r="A291" s="1">
        <v>46188</v>
      </c>
      <c r="B291">
        <v>60419</v>
      </c>
    </row>
    <row r="292" spans="1:2">
      <c r="A292" s="1">
        <v>46189</v>
      </c>
      <c r="B292">
        <v>61692</v>
      </c>
    </row>
    <row r="293" spans="1:2">
      <c r="A293" s="1">
        <v>46190</v>
      </c>
      <c r="B293">
        <v>61813</v>
      </c>
    </row>
    <row r="294" spans="1:2">
      <c r="A294" s="1">
        <v>46191</v>
      </c>
      <c r="B294">
        <v>58677</v>
      </c>
    </row>
    <row r="295" spans="1:2">
      <c r="A295" s="1">
        <v>46192</v>
      </c>
      <c r="B295">
        <v>57724</v>
      </c>
    </row>
    <row r="296" spans="1:2">
      <c r="A296" s="1">
        <v>46193</v>
      </c>
      <c r="B296">
        <v>52064</v>
      </c>
    </row>
    <row r="297" spans="1:2">
      <c r="A297" s="1">
        <v>46194</v>
      </c>
      <c r="B297">
        <v>51503</v>
      </c>
    </row>
    <row r="298" spans="1:2">
      <c r="A298" s="1">
        <v>46195</v>
      </c>
      <c r="B298">
        <v>50281</v>
      </c>
    </row>
    <row r="299" spans="1:2">
      <c r="A299" s="1">
        <v>46196</v>
      </c>
      <c r="B299">
        <v>51337</v>
      </c>
    </row>
    <row r="300" spans="1:2">
      <c r="A300" s="1">
        <v>46197</v>
      </c>
      <c r="B300">
        <v>50916</v>
      </c>
    </row>
    <row r="301" spans="1:2">
      <c r="A301" s="1">
        <v>46198</v>
      </c>
      <c r="B301">
        <v>47824</v>
      </c>
    </row>
    <row r="302" spans="1:2">
      <c r="A302" s="1">
        <v>46199</v>
      </c>
      <c r="B302">
        <v>47958</v>
      </c>
    </row>
    <row r="303" spans="1:2">
      <c r="A303" s="1">
        <v>46200</v>
      </c>
      <c r="B303">
        <v>47802</v>
      </c>
    </row>
    <row r="304" spans="1:2">
      <c r="A304" s="1">
        <v>46201</v>
      </c>
      <c r="B304">
        <v>54497</v>
      </c>
    </row>
    <row r="305" spans="1:2">
      <c r="A305" s="1">
        <v>46202</v>
      </c>
      <c r="B305">
        <v>57343</v>
      </c>
    </row>
    <row r="306" spans="1:2">
      <c r="A306" s="1">
        <v>46203</v>
      </c>
      <c r="B306">
        <v>60556</v>
      </c>
    </row>
    <row r="307" spans="1:2">
      <c r="A307" s="1">
        <v>46204</v>
      </c>
      <c r="B307">
        <v>60986</v>
      </c>
    </row>
    <row r="308" spans="1:2">
      <c r="A308" s="1">
        <v>46205</v>
      </c>
      <c r="B308">
        <v>60778</v>
      </c>
    </row>
    <row r="309" spans="1:2">
      <c r="A309" s="1">
        <v>46206</v>
      </c>
      <c r="B309">
        <v>62138</v>
      </c>
    </row>
    <row r="310" spans="1:2">
      <c r="A310" s="1">
        <v>46207</v>
      </c>
      <c r="B310">
        <v>61610</v>
      </c>
    </row>
    <row r="311" spans="1:2">
      <c r="A311" s="1">
        <v>46208</v>
      </c>
      <c r="B311">
        <v>57999</v>
      </c>
    </row>
    <row r="312" spans="1:2">
      <c r="A312" s="1">
        <v>46209</v>
      </c>
      <c r="B312">
        <v>58427</v>
      </c>
    </row>
    <row r="313" spans="1:2">
      <c r="A313" s="1">
        <v>46210</v>
      </c>
      <c r="B313">
        <v>58851</v>
      </c>
    </row>
    <row r="314" spans="1:2">
      <c r="A314" s="1">
        <v>46211</v>
      </c>
      <c r="B314">
        <v>59340</v>
      </c>
    </row>
    <row r="315" spans="1:2">
      <c r="A315" s="1">
        <v>46212</v>
      </c>
      <c r="B315">
        <v>57472</v>
      </c>
    </row>
    <row r="316" spans="1:2">
      <c r="A316" s="1">
        <v>46213</v>
      </c>
      <c r="B316">
        <v>59014</v>
      </c>
    </row>
    <row r="317" spans="1:2">
      <c r="A317" s="1">
        <v>46214</v>
      </c>
      <c r="B317">
        <v>60319</v>
      </c>
    </row>
    <row r="318" spans="1:2">
      <c r="A318" s="1">
        <v>46215</v>
      </c>
      <c r="B318">
        <v>57702</v>
      </c>
    </row>
    <row r="319" spans="1:2">
      <c r="A319" s="1">
        <v>46216</v>
      </c>
      <c r="B319">
        <v>55874</v>
      </c>
    </row>
    <row r="320" spans="1:2">
      <c r="A320" s="1">
        <v>46217</v>
      </c>
      <c r="B320">
        <v>51279</v>
      </c>
    </row>
    <row r="321" spans="1:2">
      <c r="A321" s="1">
        <v>46218</v>
      </c>
      <c r="B321">
        <v>54394</v>
      </c>
    </row>
    <row r="322" spans="1:2">
      <c r="A322" s="1">
        <v>46219</v>
      </c>
      <c r="B322">
        <v>50511</v>
      </c>
    </row>
    <row r="323" spans="1:2">
      <c r="A323" s="1">
        <v>46220</v>
      </c>
      <c r="B323">
        <v>51272</v>
      </c>
    </row>
    <row r="324" spans="1:2">
      <c r="A324" s="1">
        <v>46221</v>
      </c>
      <c r="B324">
        <v>49514</v>
      </c>
    </row>
    <row r="325" spans="1:2">
      <c r="A325" s="1">
        <v>46222</v>
      </c>
      <c r="B325">
        <v>50935</v>
      </c>
    </row>
    <row r="326" spans="1:2">
      <c r="A326" s="1">
        <v>46223</v>
      </c>
      <c r="B326">
        <v>52368</v>
      </c>
    </row>
    <row r="327" spans="1:2">
      <c r="A327" s="1">
        <v>46224</v>
      </c>
      <c r="B327">
        <v>52092</v>
      </c>
    </row>
    <row r="328" spans="1:2">
      <c r="A328" s="1">
        <v>46225</v>
      </c>
      <c r="B328">
        <v>52138</v>
      </c>
    </row>
    <row r="329" spans="1:2">
      <c r="A329" s="1">
        <v>46226</v>
      </c>
      <c r="B329">
        <v>51336</v>
      </c>
    </row>
    <row r="330" spans="1:2">
      <c r="A330" s="1">
        <v>46227</v>
      </c>
      <c r="B330">
        <v>53140</v>
      </c>
    </row>
    <row r="331" spans="1:2">
      <c r="A331" s="1">
        <v>46228</v>
      </c>
      <c r="B331">
        <v>51490</v>
      </c>
    </row>
    <row r="332" spans="1:2">
      <c r="A332" s="1">
        <v>46229</v>
      </c>
      <c r="B332">
        <v>52012</v>
      </c>
    </row>
    <row r="333" spans="1:2">
      <c r="A333" s="1">
        <v>46230</v>
      </c>
      <c r="B333">
        <v>53930</v>
      </c>
    </row>
    <row r="334" spans="1:2">
      <c r="A334" s="1">
        <v>46231</v>
      </c>
      <c r="B334">
        <v>52271</v>
      </c>
    </row>
    <row r="335" spans="1:2">
      <c r="A335" s="1">
        <v>46232</v>
      </c>
      <c r="B335">
        <v>49730</v>
      </c>
    </row>
    <row r="336" spans="1:2">
      <c r="A336" s="1">
        <v>46233</v>
      </c>
      <c r="B336">
        <v>51780</v>
      </c>
    </row>
    <row r="337" spans="1:2">
      <c r="A337" s="1">
        <v>46234</v>
      </c>
      <c r="B337">
        <v>54762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2EBA-644F-44C2-9CDC-B8738734AB3F}">
  <dimension ref="A1:K22"/>
  <sheetViews>
    <sheetView topLeftCell="A6" workbookViewId="0">
      <selection activeCell="F18" sqref="F18"/>
    </sheetView>
  </sheetViews>
  <sheetFormatPr defaultRowHeight="14.45"/>
  <cols>
    <col min="1" max="1" width="19.140625" customWidth="1"/>
    <col min="2" max="2" width="10" customWidth="1"/>
    <col min="3" max="6" width="13.5703125" customWidth="1"/>
    <col min="7" max="7" width="13.5703125" hidden="1" customWidth="1"/>
    <col min="8" max="9" width="2.85546875" hidden="1" customWidth="1"/>
    <col min="10" max="10" width="4.42578125" hidden="1" customWidth="1"/>
    <col min="11" max="11" width="20.85546875" bestFit="1" customWidth="1"/>
  </cols>
  <sheetData>
    <row r="1" spans="1:11" ht="23.45">
      <c r="A1" s="77" t="s">
        <v>52</v>
      </c>
      <c r="B1" s="77"/>
      <c r="C1" s="77"/>
      <c r="D1" s="77"/>
      <c r="E1" s="77"/>
      <c r="F1" s="77"/>
      <c r="G1" s="77"/>
    </row>
    <row r="2" spans="1:11">
      <c r="A2" s="78" t="s">
        <v>53</v>
      </c>
      <c r="B2" s="78"/>
      <c r="C2" s="78"/>
      <c r="D2" s="78"/>
      <c r="E2" s="78"/>
      <c r="F2" s="78"/>
      <c r="G2" s="78"/>
    </row>
    <row r="4" spans="1:11">
      <c r="A4" s="73" t="s">
        <v>54</v>
      </c>
      <c r="B4" s="73"/>
      <c r="C4" s="73"/>
      <c r="D4" s="73"/>
      <c r="E4" s="73"/>
      <c r="F4" s="73"/>
      <c r="G4" s="73"/>
    </row>
    <row r="5" spans="1:11">
      <c r="A5" s="73"/>
      <c r="B5" s="73"/>
      <c r="C5" s="73"/>
      <c r="D5" s="73"/>
      <c r="E5" s="73"/>
      <c r="F5" s="73"/>
      <c r="G5" s="73"/>
    </row>
    <row r="7" spans="1:11">
      <c r="A7" s="79" t="s">
        <v>55</v>
      </c>
      <c r="B7" s="79"/>
      <c r="C7" s="79"/>
      <c r="D7" s="79"/>
      <c r="E7" s="79"/>
      <c r="F7" s="79"/>
      <c r="G7" s="79"/>
    </row>
    <row r="8" spans="1:11">
      <c r="A8" s="20" t="s">
        <v>56</v>
      </c>
      <c r="B8" s="20" t="s">
        <v>39</v>
      </c>
      <c r="C8" s="20" t="s">
        <v>57</v>
      </c>
      <c r="D8" s="20" t="s">
        <v>58</v>
      </c>
      <c r="E8" s="41" t="s">
        <v>40</v>
      </c>
      <c r="F8" s="20" t="s">
        <v>59</v>
      </c>
      <c r="G8" s="20" t="s">
        <v>60</v>
      </c>
      <c r="K8" s="29" t="s">
        <v>61</v>
      </c>
    </row>
    <row r="9" spans="1:11">
      <c r="A9" s="21" t="str">
        <f>TEXT(G9,"0")&amp;"-"&amp;TEXT(H9,"0")</f>
        <v>45-50</v>
      </c>
      <c r="B9" s="22">
        <f>COUNTIFS('Energy Data &amp; SFC Calc (2)'!$K$4:$K$337,"&gt;="&amp;G9,'Energy Data &amp; SFC Calc (2)'!$K$4:$K$337,"&lt;="&amp;H9)</f>
        <v>6</v>
      </c>
      <c r="C9" s="42">
        <f>_xlfn.MINIFS('Energy Data &amp; SFC Calc (2)'!$J$4:$J$337,'Energy Data &amp; SFC Calc (2)'!$K$4:$K$337,"&gt;="&amp;G9,'Energy Data &amp; SFC Calc (2)'!$K$4:$K$337,"&lt;="&amp;H9)</f>
        <v>1751.7323487834306</v>
      </c>
      <c r="D9" s="42">
        <f>_xlfn.MAXIFS('Energy Data &amp; SFC Calc (2)'!$J$4:$J$337,'Energy Data &amp; SFC Calc (2)'!$K$4:$K$337,"&gt;="&amp;G9,'Energy Data &amp; SFC Calc (2)'!$K$4:$K$337,"&lt;="&amp;H9)</f>
        <v>1787.4848249623619</v>
      </c>
      <c r="E9" s="43">
        <f>AVERAGEIFS('Energy Data &amp; SFC Calc (2)'!$J$4:$J$337,'Energy Data &amp; SFC Calc (2)'!$K$4:$K$337,"&gt;="&amp;G9,'Energy Data &amp; SFC Calc (2)'!$K$4:$K$337,"&lt;="&amp;H9)</f>
        <v>1765.3727678481291</v>
      </c>
      <c r="F9" s="44">
        <f>D9-C9</f>
        <v>35.752476178931374</v>
      </c>
      <c r="G9">
        <v>45</v>
      </c>
      <c r="H9">
        <v>50</v>
      </c>
      <c r="K9" s="2">
        <f>E9*0.98</f>
        <v>1730.0653124911664</v>
      </c>
    </row>
    <row r="10" spans="1:11">
      <c r="A10" s="23" t="str">
        <f>TEXT(G10,"0")&amp;"-"&amp;TEXT(H10,"0")</f>
        <v>50-55</v>
      </c>
      <c r="B10" s="24">
        <f>COUNTIFS('Energy Data &amp; SFC Calc (2)'!$K$4:$K$337,"&gt;="&amp;G10,'Energy Data &amp; SFC Calc (2)'!$K$4:$K$337,"&lt;="&amp;H10)</f>
        <v>63</v>
      </c>
      <c r="C10" s="45">
        <f>_xlfn.MINIFS('Energy Data &amp; SFC Calc (2)'!$J$4:$J$337,'Energy Data &amp; SFC Calc (2)'!$K$4:$K$337,"&gt;="&amp;G10,'Energy Data &amp; SFC Calc (2)'!$K$4:$K$337,"&lt;="&amp;H10)</f>
        <v>1536.2475824616656</v>
      </c>
      <c r="D10" s="45">
        <f>_xlfn.MAXIFS('Energy Data &amp; SFC Calc (2)'!$J$4:$J$337,'Energy Data &amp; SFC Calc (2)'!$K$4:$K$337,"&gt;="&amp;G10,'Energy Data &amp; SFC Calc (2)'!$K$4:$K$337,"&lt;="&amp;H10)</f>
        <v>1762.0186726059671</v>
      </c>
      <c r="E10" s="46">
        <f>AVERAGEIFS('Energy Data &amp; SFC Calc (2)'!$J$4:$J$337,'Energy Data &amp; SFC Calc (2)'!$K$4:$K$337,"&gt;="&amp;G10,'Energy Data &amp; SFC Calc (2)'!$K$4:$K$337,"&lt;="&amp;H10)</f>
        <v>1662.6063082583271</v>
      </c>
      <c r="F10" s="47">
        <f>D10-C10</f>
        <v>225.77109014430152</v>
      </c>
      <c r="G10">
        <v>50</v>
      </c>
      <c r="H10">
        <v>55</v>
      </c>
      <c r="J10" s="27">
        <f>((E9-E10)/E9)*100</f>
        <v>5.8212328558272395</v>
      </c>
      <c r="K10" s="2">
        <f t="shared" ref="K10:K12" si="0">E10*0.98</f>
        <v>1629.3541820931605</v>
      </c>
    </row>
    <row r="11" spans="1:11">
      <c r="A11" s="23" t="str">
        <f>TEXT(G11,"0")&amp;"-"&amp;TEXT(H11,"0")</f>
        <v>55-60</v>
      </c>
      <c r="B11" s="24">
        <f>COUNTIFS('Energy Data &amp; SFC Calc (2)'!$K$4:$K$337,"&gt;="&amp;G11,'Energy Data &amp; SFC Calc (2)'!$K$4:$K$337,"&lt;="&amp;H11)</f>
        <v>185</v>
      </c>
      <c r="C11" s="45">
        <f>_xlfn.MINIFS('Energy Data &amp; SFC Calc (2)'!$J$4:$J$337,'Energy Data &amp; SFC Calc (2)'!$K$4:$K$337,"&gt;="&amp;G11,'Energy Data &amp; SFC Calc (2)'!$K$4:$K$337,"&lt;="&amp;H11)</f>
        <v>1486.0252515600623</v>
      </c>
      <c r="D11" s="45">
        <f>_xlfn.MAXIFS('Energy Data &amp; SFC Calc (2)'!$J$4:$J$337,'Energy Data &amp; SFC Calc (2)'!$K$4:$K$337,"&gt;="&amp;G11,'Energy Data &amp; SFC Calc (2)'!$K$4:$K$337,"&lt;="&amp;H11)</f>
        <v>1715.3614514587655</v>
      </c>
      <c r="E11" s="46">
        <f>AVERAGEIFS('Energy Data &amp; SFC Calc (2)'!$J$4:$J$337,'Energy Data &amp; SFC Calc (2)'!$K$4:$K$337,"&gt;="&amp;G11,'Energy Data &amp; SFC Calc (2)'!$K$4:$K$337,"&lt;="&amp;H11)</f>
        <v>1565.0883724966075</v>
      </c>
      <c r="F11" s="47">
        <f>D11-C11</f>
        <v>229.33619989870317</v>
      </c>
      <c r="G11">
        <v>55</v>
      </c>
      <c r="H11">
        <v>60</v>
      </c>
      <c r="J11" s="27">
        <f>((E10-E11)/E10)*100</f>
        <v>5.8653654372257922</v>
      </c>
      <c r="K11" s="2">
        <f t="shared" si="0"/>
        <v>1533.7866050466753</v>
      </c>
    </row>
    <row r="12" spans="1:11">
      <c r="A12" s="25" t="str">
        <f>TEXT(G12,"0")&amp;"-"&amp;TEXT(H12,"0")</f>
        <v>60-65</v>
      </c>
      <c r="B12" s="26">
        <f>COUNTIFS('Energy Data &amp; SFC Calc (2)'!$K$4:$K$337,"&gt;="&amp;G12,'Energy Data &amp; SFC Calc (2)'!$K$4:$K$337,"&lt;="&amp;H12)</f>
        <v>80</v>
      </c>
      <c r="C12" s="48">
        <f>_xlfn.MINIFS('Energy Data &amp; SFC Calc (2)'!$J$4:$J$337,'Energy Data &amp; SFC Calc (2)'!$K$4:$K$337,"&gt;="&amp;G12,'Energy Data &amp; SFC Calc (2)'!$K$4:$K$337,"&lt;="&amp;H12)</f>
        <v>1456.2050663314415</v>
      </c>
      <c r="D12" s="48">
        <f>_xlfn.MAXIFS('Energy Data &amp; SFC Calc (2)'!$J$4:$J$337,'Energy Data &amp; SFC Calc (2)'!$K$4:$K$337,"&gt;="&amp;G12,'Energy Data &amp; SFC Calc (2)'!$K$4:$K$337,"&lt;="&amp;H12)</f>
        <v>1566.9104143185068</v>
      </c>
      <c r="E12" s="49">
        <f>AVERAGEIFS('Energy Data &amp; SFC Calc (2)'!$J$4:$J$337,'Energy Data &amp; SFC Calc (2)'!$K$4:$K$337,"&gt;="&amp;G12,'Energy Data &amp; SFC Calc (2)'!$K$4:$K$337,"&lt;="&amp;H12)</f>
        <v>1520.1068241639582</v>
      </c>
      <c r="F12" s="50">
        <f>D12-C12</f>
        <v>110.70534798706535</v>
      </c>
      <c r="G12">
        <v>60</v>
      </c>
      <c r="H12">
        <v>65</v>
      </c>
      <c r="J12" s="27">
        <f>((E11-E12)/E11)*100</f>
        <v>2.8740580482938038</v>
      </c>
      <c r="K12" s="2">
        <f t="shared" si="0"/>
        <v>1489.7046876806789</v>
      </c>
    </row>
    <row r="13" spans="1:11">
      <c r="A13" s="18"/>
      <c r="B13" s="19"/>
      <c r="C13" s="19"/>
      <c r="D13" s="19"/>
      <c r="E13" s="19"/>
      <c r="F13" s="19"/>
      <c r="G13" s="19"/>
    </row>
    <row r="14" spans="1:11" ht="15">
      <c r="A14" s="18"/>
      <c r="B14" s="19"/>
      <c r="C14" s="19"/>
      <c r="D14" s="19"/>
      <c r="E14" s="19"/>
      <c r="F14" s="19"/>
      <c r="G14" s="19"/>
    </row>
    <row r="15" spans="1:11" ht="14.45" customHeight="1">
      <c r="A15" s="39" t="s">
        <v>62</v>
      </c>
      <c r="B15" s="21" t="str">
        <f>TEXT(G17,"0")&amp;"-"&amp;TEXT(H17,"0")</f>
        <v>45-48</v>
      </c>
      <c r="C15" s="40"/>
      <c r="D15" s="40"/>
      <c r="E15" s="40"/>
      <c r="F15" s="40"/>
      <c r="G15" s="40"/>
    </row>
    <row r="16" spans="1:11" ht="15">
      <c r="A16" s="20" t="s">
        <v>56</v>
      </c>
      <c r="B16" s="20" t="s">
        <v>39</v>
      </c>
      <c r="C16" s="20" t="s">
        <v>57</v>
      </c>
      <c r="D16" s="20" t="s">
        <v>58</v>
      </c>
      <c r="E16" s="41" t="s">
        <v>40</v>
      </c>
      <c r="F16" s="20" t="s">
        <v>59</v>
      </c>
      <c r="K16" s="29" t="s">
        <v>61</v>
      </c>
    </row>
    <row r="17" spans="1:11" ht="15">
      <c r="B17" s="22">
        <f>COUNTIFS('Energy Data &amp; SFC Calc (2)'!$K$4:$K$337,"&gt;="&amp;G17,'Energy Data &amp; SFC Calc (2)'!$K$4:$K$337,"&lt;="&amp;H17)</f>
        <v>3</v>
      </c>
      <c r="C17" s="42">
        <f>_xlfn.MINIFS('Energy Data &amp; SFC Calc (2)'!$J$4:$J$337,'Energy Data &amp; SFC Calc (2)'!$K$4:$K$337,"&gt;="&amp;G17,'Energy Data &amp; SFC Calc (2)'!$K$4:$K$337,"&lt;="&amp;H17)</f>
        <v>1765.3192804120274</v>
      </c>
      <c r="D17" s="42">
        <f>_xlfn.MAXIFS('Energy Data &amp; SFC Calc (2)'!$J$4:$J$337,'Energy Data &amp; SFC Calc (2)'!$K$4:$K$337,"&gt;="&amp;G17,'Energy Data &amp; SFC Calc (2)'!$K$4:$K$337,"&lt;="&amp;H17)</f>
        <v>1787.4848249623619</v>
      </c>
      <c r="E17" s="43">
        <f>AVERAGEIFS('Energy Data &amp; SFC Calc (2)'!$J$4:$J$337,'Energy Data &amp; SFC Calc (2)'!$K$4:$K$337,"&gt;="&amp;G17,'Energy Data &amp; SFC Calc (2)'!$K$4:$K$337,"&lt;="&amp;H17)</f>
        <v>1775.4980989854437</v>
      </c>
      <c r="F17" s="44">
        <f>D17-C17</f>
        <v>22.165544550334516</v>
      </c>
      <c r="G17" s="2">
        <v>45</v>
      </c>
      <c r="H17" s="2">
        <v>48</v>
      </c>
      <c r="I17" s="2"/>
      <c r="J17" s="2"/>
      <c r="K17" s="2">
        <f>E17*0.98</f>
        <v>1739.9881370057349</v>
      </c>
    </row>
    <row r="18" spans="1:11" ht="15">
      <c r="A18" s="23" t="str">
        <f t="shared" ref="A18:A22" si="1">TEXT(G18,"0")&amp;"-"&amp;TEXT(H18,"0")</f>
        <v>48-51</v>
      </c>
      <c r="B18" s="24">
        <f>COUNTIFS('Energy Data &amp; SFC Calc (2)'!$K$4:$K$337,"&gt;="&amp;G18,'Energy Data &amp; SFC Calc (2)'!$K$4:$K$337,"&lt;="&amp;H18)</f>
        <v>9</v>
      </c>
      <c r="C18" s="45">
        <f>_xlfn.MINIFS('Energy Data &amp; SFC Calc (2)'!$J$4:$J$337,'Energy Data &amp; SFC Calc (2)'!$K$4:$K$337,"&gt;="&amp;G18,'Energy Data &amp; SFC Calc (2)'!$K$4:$K$337,"&lt;="&amp;H18)</f>
        <v>1684.2659336851223</v>
      </c>
      <c r="D18" s="45">
        <f>_xlfn.MAXIFS('Energy Data &amp; SFC Calc (2)'!$J$4:$J$337,'Energy Data &amp; SFC Calc (2)'!$K$4:$K$337,"&gt;="&amp;G18,'Energy Data &amp; SFC Calc (2)'!$K$4:$K$337,"&lt;="&amp;H18)</f>
        <v>1762.0186726059671</v>
      </c>
      <c r="E18" s="46">
        <f>AVERAGEIFS('Energy Data &amp; SFC Calc (2)'!$J$4:$J$337,'Energy Data &amp; SFC Calc (2)'!$K$4:$K$337,"&gt;="&amp;G18,'Energy Data &amp; SFC Calc (2)'!$K$4:$K$337,"&lt;="&amp;H18)</f>
        <v>1729.7317274432969</v>
      </c>
      <c r="F18" s="47">
        <f t="shared" ref="F18:F22" si="2">D18-C18</f>
        <v>77.752738920844877</v>
      </c>
      <c r="G18" s="2">
        <v>48</v>
      </c>
      <c r="H18" s="2">
        <v>51</v>
      </c>
      <c r="I18" s="2"/>
      <c r="J18" s="2">
        <f>((E17-E18)/E17)*100</f>
        <v>2.5776637873224773</v>
      </c>
      <c r="K18" s="2">
        <f t="shared" ref="K18:K22" si="3">E18*0.98</f>
        <v>1695.1370928944309</v>
      </c>
    </row>
    <row r="19" spans="1:11">
      <c r="A19" s="23" t="str">
        <f t="shared" si="1"/>
        <v>51-54</v>
      </c>
      <c r="B19" s="24">
        <f>COUNTIFS('Energy Data &amp; SFC Calc (2)'!$K$4:$K$337,"&gt;="&amp;G19,'Energy Data &amp; SFC Calc (2)'!$K$4:$K$337,"&lt;="&amp;H19)</f>
        <v>46</v>
      </c>
      <c r="C19" s="45">
        <f>_xlfn.MINIFS('Energy Data &amp; SFC Calc (2)'!$J$4:$J$337,'Energy Data &amp; SFC Calc (2)'!$K$4:$K$337,"&gt;="&amp;G19,'Energy Data &amp; SFC Calc (2)'!$K$4:$K$337,"&lt;="&amp;H19)</f>
        <v>1536.2475824616656</v>
      </c>
      <c r="D19" s="45">
        <f>_xlfn.MAXIFS('Energy Data &amp; SFC Calc (2)'!$J$4:$J$337,'Energy Data &amp; SFC Calc (2)'!$K$4:$K$337,"&gt;="&amp;G19,'Energy Data &amp; SFC Calc (2)'!$K$4:$K$337,"&lt;="&amp;H19)</f>
        <v>1749.4732865808278</v>
      </c>
      <c r="E19" s="46">
        <f>AVERAGEIFS('Energy Data &amp; SFC Calc (2)'!$J$4:$J$337,'Energy Data &amp; SFC Calc (2)'!$K$4:$K$337,"&gt;="&amp;G19,'Energy Data &amp; SFC Calc (2)'!$K$4:$K$337,"&lt;="&amp;H19)</f>
        <v>1665.1893378492694</v>
      </c>
      <c r="F19" s="47">
        <f t="shared" si="2"/>
        <v>213.22570411916217</v>
      </c>
      <c r="G19" s="2">
        <v>51</v>
      </c>
      <c r="H19" s="2">
        <v>54</v>
      </c>
      <c r="I19" s="2"/>
      <c r="J19" s="2">
        <f t="shared" ref="J19:J22" si="4">((E18-E19)/E18)*100</f>
        <v>3.731352588960553</v>
      </c>
      <c r="K19" s="2">
        <f t="shared" si="3"/>
        <v>1631.885551092284</v>
      </c>
    </row>
    <row r="20" spans="1:11">
      <c r="A20" s="23" t="str">
        <f t="shared" si="1"/>
        <v>54-57</v>
      </c>
      <c r="B20" s="24">
        <f>COUNTIFS('Energy Data &amp; SFC Calc (2)'!$K$4:$K$337,"&gt;="&amp;G20,'Energy Data &amp; SFC Calc (2)'!$K$4:$K$337,"&lt;="&amp;H20)</f>
        <v>64</v>
      </c>
      <c r="C20" s="45">
        <f>_xlfn.MINIFS('Energy Data &amp; SFC Calc (2)'!$J$4:$J$337,'Energy Data &amp; SFC Calc (2)'!$K$4:$K$337,"&gt;="&amp;G20,'Energy Data &amp; SFC Calc (2)'!$K$4:$K$337,"&lt;="&amp;H20)</f>
        <v>1532.2316694144554</v>
      </c>
      <c r="D20" s="45">
        <f>_xlfn.MAXIFS('Energy Data &amp; SFC Calc (2)'!$J$4:$J$337,'Energy Data &amp; SFC Calc (2)'!$K$4:$K$337,"&gt;="&amp;G20,'Energy Data &amp; SFC Calc (2)'!$K$4:$K$337,"&lt;="&amp;H20)</f>
        <v>1664.9417961360068</v>
      </c>
      <c r="E20" s="46">
        <f>AVERAGEIFS('Energy Data &amp; SFC Calc (2)'!$J$4:$J$337,'Energy Data &amp; SFC Calc (2)'!$K$4:$K$337,"&gt;="&amp;G20,'Energy Data &amp; SFC Calc (2)'!$K$4:$K$337,"&lt;="&amp;H20)</f>
        <v>1594.7855906626207</v>
      </c>
      <c r="F20" s="47">
        <f t="shared" si="2"/>
        <v>132.71012672155143</v>
      </c>
      <c r="G20" s="2">
        <v>54</v>
      </c>
      <c r="H20" s="2">
        <v>57</v>
      </c>
      <c r="I20" s="2"/>
      <c r="J20" s="2">
        <f t="shared" si="4"/>
        <v>4.2279724945621444</v>
      </c>
      <c r="K20" s="2">
        <f t="shared" si="3"/>
        <v>1562.8898788493682</v>
      </c>
    </row>
    <row r="21" spans="1:11">
      <c r="A21" s="23" t="str">
        <f t="shared" si="1"/>
        <v>57-60</v>
      </c>
      <c r="B21" s="24">
        <f>COUNTIFS('Energy Data &amp; SFC Calc (2)'!$K$4:$K$337,"&gt;="&amp;G21,'Energy Data &amp; SFC Calc (2)'!$K$4:$K$337,"&lt;="&amp;H21)</f>
        <v>132</v>
      </c>
      <c r="C21" s="45">
        <f>_xlfn.MINIFS('Energy Data &amp; SFC Calc (2)'!$J$4:$J$337,'Energy Data &amp; SFC Calc (2)'!$K$4:$K$337,"&gt;="&amp;G21,'Energy Data &amp; SFC Calc (2)'!$K$4:$K$337,"&lt;="&amp;H21)</f>
        <v>1486.0252515600623</v>
      </c>
      <c r="D21" s="45">
        <f>_xlfn.MAXIFS('Energy Data &amp; SFC Calc (2)'!$J$4:$J$337,'Energy Data &amp; SFC Calc (2)'!$K$4:$K$337,"&gt;="&amp;G21,'Energy Data &amp; SFC Calc (2)'!$K$4:$K$337,"&lt;="&amp;H21)</f>
        <v>1715.3614514587655</v>
      </c>
      <c r="E21" s="46">
        <f>AVERAGEIFS('Energy Data &amp; SFC Calc (2)'!$J$4:$J$337,'Energy Data &amp; SFC Calc (2)'!$K$4:$K$337,"&gt;="&amp;G21,'Energy Data &amp; SFC Calc (2)'!$K$4:$K$337,"&lt;="&amp;H21)</f>
        <v>1555.4448163016334</v>
      </c>
      <c r="F21" s="47">
        <f t="shared" si="2"/>
        <v>229.33619989870317</v>
      </c>
      <c r="G21" s="2">
        <v>57</v>
      </c>
      <c r="H21" s="2">
        <v>60</v>
      </c>
      <c r="I21" s="2"/>
      <c r="J21" s="2">
        <f t="shared" si="4"/>
        <v>2.4668378364668788</v>
      </c>
      <c r="K21" s="2">
        <f t="shared" si="3"/>
        <v>1524.3359199756007</v>
      </c>
    </row>
    <row r="22" spans="1:11">
      <c r="A22" s="25" t="str">
        <f t="shared" si="1"/>
        <v>60-63</v>
      </c>
      <c r="B22" s="26">
        <f>COUNTIFS('Energy Data &amp; SFC Calc (2)'!$K$4:$K$337,"&gt;="&amp;G22,'Energy Data &amp; SFC Calc (2)'!$K$4:$K$337,"&lt;="&amp;H22)</f>
        <v>80</v>
      </c>
      <c r="C22" s="48">
        <f>_xlfn.MINIFS('Energy Data &amp; SFC Calc (2)'!$J$4:$J$337,'Energy Data &amp; SFC Calc (2)'!$K$4:$K$337,"&gt;="&amp;G22,'Energy Data &amp; SFC Calc (2)'!$K$4:$K$337,"&lt;="&amp;H22)</f>
        <v>1456.2050663314415</v>
      </c>
      <c r="D22" s="48">
        <f>_xlfn.MAXIFS('Energy Data &amp; SFC Calc (2)'!$J$4:$J$337,'Energy Data &amp; SFC Calc (2)'!$K$4:$K$337,"&gt;="&amp;G22,'Energy Data &amp; SFC Calc (2)'!$K$4:$K$337,"&lt;="&amp;H22)</f>
        <v>1566.9104143185068</v>
      </c>
      <c r="E22" s="49">
        <f>AVERAGEIFS('Energy Data &amp; SFC Calc (2)'!$J$4:$J$337,'Energy Data &amp; SFC Calc (2)'!$K$4:$K$337,"&gt;="&amp;G22,'Energy Data &amp; SFC Calc (2)'!$K$4:$K$337,"&lt;="&amp;H22)</f>
        <v>1520.1068241639582</v>
      </c>
      <c r="F22" s="50">
        <f t="shared" si="2"/>
        <v>110.70534798706535</v>
      </c>
      <c r="G22" s="2">
        <v>60</v>
      </c>
      <c r="H22" s="2">
        <v>63</v>
      </c>
      <c r="I22" s="2"/>
      <c r="J22" s="2">
        <f t="shared" si="4"/>
        <v>2.271889800738673</v>
      </c>
      <c r="K22" s="2">
        <f t="shared" si="3"/>
        <v>1489.7046876806789</v>
      </c>
    </row>
  </sheetData>
  <mergeCells count="4">
    <mergeCell ref="A1:G1"/>
    <mergeCell ref="A2:G2"/>
    <mergeCell ref="A4:G5"/>
    <mergeCell ref="A7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5EBE-D6BD-405B-81C4-D159BF7C3C45}">
  <dimension ref="A1:G346"/>
  <sheetViews>
    <sheetView workbookViewId="0">
      <selection activeCell="D13" sqref="D13"/>
    </sheetView>
  </sheetViews>
  <sheetFormatPr defaultRowHeight="14.45"/>
  <cols>
    <col min="1" max="1" width="19.140625" customWidth="1"/>
    <col min="2" max="2" width="13.5703125" customWidth="1"/>
    <col min="3" max="3" width="19.140625" customWidth="1"/>
    <col min="4" max="4" width="18.140625" customWidth="1"/>
    <col min="5" max="7" width="17.28515625" customWidth="1"/>
  </cols>
  <sheetData>
    <row r="1" spans="1:7" ht="23.45">
      <c r="A1" s="77" t="s">
        <v>63</v>
      </c>
      <c r="B1" s="77"/>
      <c r="C1" s="77"/>
      <c r="D1" s="77"/>
      <c r="E1" s="77"/>
      <c r="F1" s="77"/>
      <c r="G1" s="77"/>
    </row>
    <row r="2" spans="1:7">
      <c r="A2" s="78" t="s">
        <v>64</v>
      </c>
      <c r="B2" s="78"/>
      <c r="C2" s="78"/>
      <c r="D2" s="78"/>
      <c r="E2" s="78"/>
      <c r="F2" s="78"/>
      <c r="G2" s="78"/>
    </row>
    <row r="4" spans="1:7">
      <c r="A4" s="73" t="str">
        <f>"Across all 334 days, Draw variation has a "&amp;IF(E8&lt;0,"negative","positive")&amp;" relationship with Energy variation (r="&amp;TEXT(E8,"0.000")&amp;") and a "&amp;IF(E9&lt;0,"negative","positive")&amp;" relationship with SFC variation (r="&amp;TEXT(E9,"0.000")&amp;"). Values above zero are above the period average; values below zero are below it."</f>
        <v>Across all 334 days, Draw variation has a positive relationship with Energy variation (r=0.757) and a negative relationship with SFC variation (r=-0.882). Values above zero are above the period average; values below zero are below it.</v>
      </c>
      <c r="B4" s="73"/>
      <c r="C4" s="73"/>
      <c r="D4" s="73"/>
      <c r="E4" s="73"/>
      <c r="F4" s="73"/>
      <c r="G4" s="73"/>
    </row>
    <row r="5" spans="1:7">
      <c r="A5" s="73"/>
      <c r="B5" s="73"/>
      <c r="C5" s="73"/>
      <c r="D5" s="73"/>
      <c r="E5" s="73"/>
      <c r="F5" s="73"/>
      <c r="G5" s="73"/>
    </row>
    <row r="7" spans="1:7">
      <c r="A7" s="28" t="s">
        <v>65</v>
      </c>
      <c r="B7" s="28" t="s">
        <v>66</v>
      </c>
      <c r="D7" s="28" t="s">
        <v>67</v>
      </c>
      <c r="E7" s="28" t="s">
        <v>68</v>
      </c>
    </row>
    <row r="8" spans="1:7">
      <c r="A8" s="29" t="s">
        <v>69</v>
      </c>
      <c r="B8" s="15">
        <f>AVERAGE('Energy Data &amp; SFC Calc (2)'!$K$4:$K$337)</f>
        <v>57.390901197604784</v>
      </c>
      <c r="D8" s="29" t="s">
        <v>70</v>
      </c>
      <c r="E8" s="15">
        <f>CORREL(E13:E346,F13:F346)</f>
        <v>0.75663818849143571</v>
      </c>
    </row>
    <row r="9" spans="1:7">
      <c r="A9" s="29" t="s">
        <v>23</v>
      </c>
      <c r="B9" s="17">
        <f>AVERAGE('Energy Data &amp; SFC Calc (2)'!$H$4:$H$337)</f>
        <v>90286778.645709574</v>
      </c>
      <c r="D9" s="29" t="s">
        <v>71</v>
      </c>
      <c r="E9" s="15">
        <f>CORREL(E13:E346,G13:G346)</f>
        <v>-0.88217847856868337</v>
      </c>
    </row>
    <row r="10" spans="1:7">
      <c r="A10" s="29" t="s">
        <v>25</v>
      </c>
      <c r="B10" s="17">
        <f>AVERAGE('Energy Data &amp; SFC Calc (2)'!$J$4:$J$337)</f>
        <v>1576.3063738693186</v>
      </c>
    </row>
    <row r="12" spans="1:7">
      <c r="A12" s="30" t="s">
        <v>18</v>
      </c>
      <c r="B12" s="30" t="s">
        <v>69</v>
      </c>
      <c r="C12" s="30" t="s">
        <v>23</v>
      </c>
      <c r="D12" s="30" t="s">
        <v>25</v>
      </c>
      <c r="E12" s="30" t="s">
        <v>72</v>
      </c>
      <c r="F12" s="30" t="s">
        <v>73</v>
      </c>
      <c r="G12" s="30" t="s">
        <v>74</v>
      </c>
    </row>
    <row r="13" spans="1:7">
      <c r="A13" s="31">
        <f>'Energy Data &amp; SFC Calc (2)'!C4</f>
        <v>45901</v>
      </c>
      <c r="B13" s="32">
        <f>'Energy Data &amp; SFC Calc (2)'!K4</f>
        <v>60.554000000000002</v>
      </c>
      <c r="C13" s="33">
        <f>'Energy Data &amp; SFC Calc (2)'!H4</f>
        <v>90228389.156000003</v>
      </c>
      <c r="D13" s="33">
        <f>'Energy Data &amp; SFC Calc (2)'!J4</f>
        <v>1490.0483726260859</v>
      </c>
      <c r="E13" s="34">
        <f t="shared" ref="E13:E76" si="0">B13/$B$8-1</f>
        <v>5.5114987504800261E-2</v>
      </c>
      <c r="F13" s="34">
        <f t="shared" ref="F13:F76" si="1">C13/$B$9-1</f>
        <v>-6.4671140764360757E-4</v>
      </c>
      <c r="G13" s="34">
        <f t="shared" ref="G13:G76" si="2">D13/$B$10-1</f>
        <v>-5.4721596431471231E-2</v>
      </c>
    </row>
    <row r="14" spans="1:7">
      <c r="A14" s="31">
        <f>'Energy Data &amp; SFC Calc (2)'!C5</f>
        <v>45902</v>
      </c>
      <c r="B14" s="32">
        <f>'Energy Data &amp; SFC Calc (2)'!K5</f>
        <v>57.841000000000001</v>
      </c>
      <c r="C14" s="33">
        <f>'Energy Data &amp; SFC Calc (2)'!H5</f>
        <v>87419812.239999995</v>
      </c>
      <c r="D14" s="33">
        <f>'Energy Data &amp; SFC Calc (2)'!J5</f>
        <v>1511.3814118013172</v>
      </c>
      <c r="E14" s="34">
        <f t="shared" si="0"/>
        <v>7.8426857394251481E-3</v>
      </c>
      <c r="F14" s="34">
        <f t="shared" si="1"/>
        <v>-3.1754000405305405E-2</v>
      </c>
      <c r="G14" s="34">
        <f t="shared" si="2"/>
        <v>-4.1188034981189392E-2</v>
      </c>
    </row>
    <row r="15" spans="1:7">
      <c r="A15" s="31">
        <f>'Energy Data &amp; SFC Calc (2)'!C6</f>
        <v>45903</v>
      </c>
      <c r="B15" s="32">
        <f>'Energy Data &amp; SFC Calc (2)'!K6</f>
        <v>60.258000000000003</v>
      </c>
      <c r="C15" s="33">
        <f>'Energy Data &amp; SFC Calc (2)'!H6</f>
        <v>87748004.886999995</v>
      </c>
      <c r="D15" s="33">
        <f>'Energy Data &amp; SFC Calc (2)'!J6</f>
        <v>1456.2050663314415</v>
      </c>
      <c r="E15" s="34">
        <f t="shared" si="0"/>
        <v>4.9957375517129421E-2</v>
      </c>
      <c r="F15" s="34">
        <f t="shared" si="1"/>
        <v>-2.8118998116788196E-2</v>
      </c>
      <c r="G15" s="34">
        <f t="shared" si="2"/>
        <v>-7.6191601790626229E-2</v>
      </c>
    </row>
    <row r="16" spans="1:7">
      <c r="A16" s="31">
        <f>'Energy Data &amp; SFC Calc (2)'!C7</f>
        <v>45904</v>
      </c>
      <c r="B16" s="32">
        <f>'Energy Data &amp; SFC Calc (2)'!K7</f>
        <v>59.462000000000003</v>
      </c>
      <c r="C16" s="33">
        <f>'Energy Data &amp; SFC Calc (2)'!H7</f>
        <v>88560135.960000008</v>
      </c>
      <c r="D16" s="33">
        <f>'Energy Data &amp; SFC Calc (2)'!J7</f>
        <v>1489.3568322626215</v>
      </c>
      <c r="E16" s="34">
        <f t="shared" si="0"/>
        <v>3.6087581117852485E-2</v>
      </c>
      <c r="F16" s="34">
        <f t="shared" si="1"/>
        <v>-1.9123981513229138E-2</v>
      </c>
      <c r="G16" s="34">
        <f t="shared" si="2"/>
        <v>-5.5160305793387265E-2</v>
      </c>
    </row>
    <row r="17" spans="1:7">
      <c r="A17" s="31">
        <f>'Energy Data &amp; SFC Calc (2)'!C8</f>
        <v>45905</v>
      </c>
      <c r="B17" s="32">
        <f>'Energy Data &amp; SFC Calc (2)'!K8</f>
        <v>56.709000000000003</v>
      </c>
      <c r="C17" s="33">
        <f>'Energy Data &amp; SFC Calc (2)'!H8</f>
        <v>87054925.748999998</v>
      </c>
      <c r="D17" s="33">
        <f>'Energy Data &amp; SFC Calc (2)'!J8</f>
        <v>1535.1165731894407</v>
      </c>
      <c r="E17" s="34">
        <f t="shared" si="0"/>
        <v>-1.1881695240451129E-2</v>
      </c>
      <c r="F17" s="34">
        <f t="shared" si="1"/>
        <v>-3.5795417060913715E-2</v>
      </c>
      <c r="G17" s="34">
        <f t="shared" si="2"/>
        <v>-2.61305805538109E-2</v>
      </c>
    </row>
    <row r="18" spans="1:7">
      <c r="A18" s="31">
        <f>'Energy Data &amp; SFC Calc (2)'!C9</f>
        <v>45906</v>
      </c>
      <c r="B18" s="32">
        <f>'Energy Data &amp; SFC Calc (2)'!K9</f>
        <v>55.926000000000002</v>
      </c>
      <c r="C18" s="33">
        <f>'Energy Data &amp; SFC Calc (2)'!H9</f>
        <v>87140285.894999996</v>
      </c>
      <c r="D18" s="33">
        <f>'Energy Data &amp; SFC Calc (2)'!J9</f>
        <v>1558.1354986052997</v>
      </c>
      <c r="E18" s="34">
        <f t="shared" si="0"/>
        <v>-2.5524972897026377E-2</v>
      </c>
      <c r="F18" s="34">
        <f t="shared" si="1"/>
        <v>-3.4849983551374586E-2</v>
      </c>
      <c r="G18" s="34">
        <f t="shared" si="2"/>
        <v>-1.1527502245274324E-2</v>
      </c>
    </row>
    <row r="19" spans="1:7">
      <c r="A19" s="31">
        <f>'Energy Data &amp; SFC Calc (2)'!C10</f>
        <v>45907</v>
      </c>
      <c r="B19" s="32">
        <f>'Energy Data &amp; SFC Calc (2)'!K10</f>
        <v>55.716999999999999</v>
      </c>
      <c r="C19" s="33">
        <f>'Energy Data &amp; SFC Calc (2)'!H10</f>
        <v>86208221.204999998</v>
      </c>
      <c r="D19" s="33">
        <f>'Energy Data &amp; SFC Calc (2)'!J10</f>
        <v>1547.2516683417987</v>
      </c>
      <c r="E19" s="34">
        <f t="shared" si="0"/>
        <v>-2.9166665145077819E-2</v>
      </c>
      <c r="F19" s="34">
        <f t="shared" si="1"/>
        <v>-4.5173363164434766E-2</v>
      </c>
      <c r="G19" s="34">
        <f t="shared" si="2"/>
        <v>-1.843214365504342E-2</v>
      </c>
    </row>
    <row r="20" spans="1:7">
      <c r="A20" s="31">
        <f>'Energy Data &amp; SFC Calc (2)'!C11</f>
        <v>45908</v>
      </c>
      <c r="B20" s="32">
        <f>'Energy Data &amp; SFC Calc (2)'!K11</f>
        <v>56.408999999999999</v>
      </c>
      <c r="C20" s="33">
        <f>'Energy Data &amp; SFC Calc (2)'!H11</f>
        <v>86431656.24000001</v>
      </c>
      <c r="D20" s="33">
        <f>'Energy Data &amp; SFC Calc (2)'!J11</f>
        <v>1532.2316694144554</v>
      </c>
      <c r="E20" s="34">
        <f t="shared" si="0"/>
        <v>-1.710900468741483E-2</v>
      </c>
      <c r="F20" s="34">
        <f t="shared" si="1"/>
        <v>-4.2698637203984036E-2</v>
      </c>
      <c r="G20" s="34">
        <f t="shared" si="2"/>
        <v>-2.7960747469842562E-2</v>
      </c>
    </row>
    <row r="21" spans="1:7">
      <c r="A21" s="31">
        <f>'Energy Data &amp; SFC Calc (2)'!C12</f>
        <v>45909</v>
      </c>
      <c r="B21" s="32">
        <f>'Energy Data &amp; SFC Calc (2)'!K12</f>
        <v>55.777000000000001</v>
      </c>
      <c r="C21" s="33">
        <f>'Energy Data &amp; SFC Calc (2)'!H12</f>
        <v>85957001.354000002</v>
      </c>
      <c r="D21" s="33">
        <f>'Energy Data &amp; SFC Calc (2)'!J12</f>
        <v>1541.0832664718432</v>
      </c>
      <c r="E21" s="34">
        <f t="shared" si="0"/>
        <v>-2.8121203255685012E-2</v>
      </c>
      <c r="F21" s="34">
        <f t="shared" si="1"/>
        <v>-4.7955828712195614E-2</v>
      </c>
      <c r="G21" s="34">
        <f t="shared" si="2"/>
        <v>-2.2345343507692683E-2</v>
      </c>
    </row>
    <row r="22" spans="1:7">
      <c r="A22" s="31">
        <f>'Energy Data &amp; SFC Calc (2)'!C13</f>
        <v>45910</v>
      </c>
      <c r="B22" s="32">
        <f>'Energy Data &amp; SFC Calc (2)'!K13</f>
        <v>55.488999999999997</v>
      </c>
      <c r="C22" s="33">
        <f>'Energy Data &amp; SFC Calc (2)'!H13</f>
        <v>86108834.994000003</v>
      </c>
      <c r="D22" s="33">
        <f>'Energy Data &amp; SFC Calc (2)'!J13</f>
        <v>1551.8181079853666</v>
      </c>
      <c r="E22" s="34">
        <f t="shared" si="0"/>
        <v>-3.3139420324770241E-2</v>
      </c>
      <c r="F22" s="34">
        <f t="shared" si="1"/>
        <v>-4.6274146828341967E-2</v>
      </c>
      <c r="G22" s="34">
        <f t="shared" si="2"/>
        <v>-1.5535219732596306E-2</v>
      </c>
    </row>
    <row r="23" spans="1:7">
      <c r="A23" s="31">
        <f>'Energy Data &amp; SFC Calc (2)'!C14</f>
        <v>45911</v>
      </c>
      <c r="B23" s="32">
        <f>'Energy Data &amp; SFC Calc (2)'!K14</f>
        <v>57.154000000000003</v>
      </c>
      <c r="C23" s="33">
        <f>'Energy Data &amp; SFC Calc (2)'!H14</f>
        <v>85943628.840000004</v>
      </c>
      <c r="D23" s="33">
        <f>'Energy Data &amp; SFC Calc (2)'!J14</f>
        <v>1503.7202792455471</v>
      </c>
      <c r="E23" s="34">
        <f t="shared" si="0"/>
        <v>-4.127852894121653E-3</v>
      </c>
      <c r="F23" s="34">
        <f t="shared" si="1"/>
        <v>-4.8103940254113353E-2</v>
      </c>
      <c r="G23" s="34">
        <f t="shared" si="2"/>
        <v>-4.604821488198152E-2</v>
      </c>
    </row>
    <row r="24" spans="1:7">
      <c r="A24" s="31">
        <f>'Energy Data &amp; SFC Calc (2)'!C15</f>
        <v>45912</v>
      </c>
      <c r="B24" s="32">
        <f>'Energy Data &amp; SFC Calc (2)'!K15</f>
        <v>57.064999999999998</v>
      </c>
      <c r="C24" s="33">
        <f>'Energy Data &amp; SFC Calc (2)'!H15</f>
        <v>86662820.076000005</v>
      </c>
      <c r="D24" s="33">
        <f>'Energy Data &amp; SFC Calc (2)'!J15</f>
        <v>1518.6685372119514</v>
      </c>
      <c r="E24" s="34">
        <f t="shared" si="0"/>
        <v>-5.6786213633875926E-3</v>
      </c>
      <c r="F24" s="34">
        <f t="shared" si="1"/>
        <v>-4.0138308444143123E-2</v>
      </c>
      <c r="G24" s="34">
        <f t="shared" si="2"/>
        <v>-3.6565123133953437E-2</v>
      </c>
    </row>
    <row r="25" spans="1:7">
      <c r="A25" s="31">
        <f>'Energy Data &amp; SFC Calc (2)'!C16</f>
        <v>45913</v>
      </c>
      <c r="B25" s="32">
        <f>'Energy Data &amp; SFC Calc (2)'!K16</f>
        <v>57.936</v>
      </c>
      <c r="C25" s="33">
        <f>'Energy Data &amp; SFC Calc (2)'!H16</f>
        <v>86725788.048999995</v>
      </c>
      <c r="D25" s="33">
        <f>'Energy Data &amp; SFC Calc (2)'!J16</f>
        <v>1496.9239859327533</v>
      </c>
      <c r="E25" s="34">
        <f t="shared" si="0"/>
        <v>9.4980003976303795E-3</v>
      </c>
      <c r="F25" s="34">
        <f t="shared" si="1"/>
        <v>-3.9440886585212054E-2</v>
      </c>
      <c r="G25" s="34">
        <f t="shared" si="2"/>
        <v>-5.0359745575162096E-2</v>
      </c>
    </row>
    <row r="26" spans="1:7">
      <c r="A26" s="31">
        <f>'Energy Data &amp; SFC Calc (2)'!C17</f>
        <v>45914</v>
      </c>
      <c r="B26" s="32">
        <f>'Energy Data &amp; SFC Calc (2)'!K17</f>
        <v>58.311999999999998</v>
      </c>
      <c r="C26" s="33">
        <f>'Energy Data &amp; SFC Calc (2)'!H17</f>
        <v>87392466.754000008</v>
      </c>
      <c r="D26" s="33">
        <f>'Energy Data &amp; SFC Calc (2)'!J17</f>
        <v>1498.7046706338319</v>
      </c>
      <c r="E26" s="34">
        <f t="shared" si="0"/>
        <v>1.6049561571158222E-2</v>
      </c>
      <c r="F26" s="34">
        <f t="shared" si="1"/>
        <v>-3.2056874053143614E-2</v>
      </c>
      <c r="G26" s="34">
        <f t="shared" si="2"/>
        <v>-4.9230089100635754E-2</v>
      </c>
    </row>
    <row r="27" spans="1:7">
      <c r="A27" s="31">
        <f>'Energy Data &amp; SFC Calc (2)'!C18</f>
        <v>45915</v>
      </c>
      <c r="B27" s="32">
        <f>'Energy Data &amp; SFC Calc (2)'!K18</f>
        <v>58.972000000000001</v>
      </c>
      <c r="C27" s="33">
        <f>'Energy Data &amp; SFC Calc (2)'!H18</f>
        <v>87633881.13499999</v>
      </c>
      <c r="D27" s="33">
        <f>'Energy Data &amp; SFC Calc (2)'!J18</f>
        <v>1486.0252515600623</v>
      </c>
      <c r="E27" s="34">
        <f t="shared" si="0"/>
        <v>2.7549642354478321E-2</v>
      </c>
      <c r="F27" s="34">
        <f t="shared" si="1"/>
        <v>-2.9383012114317486E-2</v>
      </c>
      <c r="G27" s="34">
        <f t="shared" si="2"/>
        <v>-5.7273842068940928E-2</v>
      </c>
    </row>
    <row r="28" spans="1:7">
      <c r="A28" s="31">
        <f>'Energy Data &amp; SFC Calc (2)'!C19</f>
        <v>45916</v>
      </c>
      <c r="B28" s="32">
        <f>'Energy Data &amp; SFC Calc (2)'!K19</f>
        <v>58.920999999999999</v>
      </c>
      <c r="C28" s="33">
        <f>'Energy Data &amp; SFC Calc (2)'!H19</f>
        <v>88091818.5</v>
      </c>
      <c r="D28" s="33">
        <f>'Energy Data &amp; SFC Calc (2)'!J19</f>
        <v>1495.0835610393578</v>
      </c>
      <c r="E28" s="34">
        <f t="shared" si="0"/>
        <v>2.6660999748494563E-2</v>
      </c>
      <c r="F28" s="34">
        <f t="shared" si="1"/>
        <v>-2.431098083942862E-2</v>
      </c>
      <c r="G28" s="34">
        <f t="shared" si="2"/>
        <v>-5.1527300895564565E-2</v>
      </c>
    </row>
    <row r="29" spans="1:7">
      <c r="A29" s="31">
        <f>'Energy Data &amp; SFC Calc (2)'!C20</f>
        <v>45917</v>
      </c>
      <c r="B29" s="32">
        <f>'Energy Data &amp; SFC Calc (2)'!K20</f>
        <v>59.558999999999997</v>
      </c>
      <c r="C29" s="33">
        <f>'Energy Data &amp; SFC Calc (2)'!H20</f>
        <v>89081584.255999997</v>
      </c>
      <c r="D29" s="33">
        <f>'Energy Data &amp; SFC Calc (2)'!J20</f>
        <v>1495.6863657213855</v>
      </c>
      <c r="E29" s="34">
        <f t="shared" si="0"/>
        <v>3.7777744505703925E-2</v>
      </c>
      <c r="F29" s="34">
        <f t="shared" si="1"/>
        <v>-1.3348514674987211E-2</v>
      </c>
      <c r="G29" s="34">
        <f t="shared" si="2"/>
        <v>-5.1144884956619951E-2</v>
      </c>
    </row>
    <row r="30" spans="1:7">
      <c r="A30" s="31">
        <f>'Energy Data &amp; SFC Calc (2)'!C21</f>
        <v>45918</v>
      </c>
      <c r="B30" s="32">
        <f>'Energy Data &amp; SFC Calc (2)'!K21</f>
        <v>60.442999999999998</v>
      </c>
      <c r="C30" s="33">
        <f>'Energy Data &amp; SFC Calc (2)'!H21</f>
        <v>88680174.216999993</v>
      </c>
      <c r="D30" s="33">
        <f>'Energy Data &amp; SFC Calc (2)'!J21</f>
        <v>1467.1702962625943</v>
      </c>
      <c r="E30" s="34">
        <f t="shared" si="0"/>
        <v>5.3180883009423585E-2</v>
      </c>
      <c r="F30" s="34">
        <f t="shared" si="1"/>
        <v>-1.77944595300491E-2</v>
      </c>
      <c r="G30" s="34">
        <f t="shared" si="2"/>
        <v>-6.9235320884245888E-2</v>
      </c>
    </row>
    <row r="31" spans="1:7">
      <c r="A31" s="31">
        <f>'Energy Data &amp; SFC Calc (2)'!C22</f>
        <v>45919</v>
      </c>
      <c r="B31" s="32">
        <f>'Energy Data &amp; SFC Calc (2)'!K22</f>
        <v>58.914000000000001</v>
      </c>
      <c r="C31" s="33">
        <f>'Energy Data &amp; SFC Calc (2)'!H22</f>
        <v>87581589.012000009</v>
      </c>
      <c r="D31" s="33">
        <f>'Energy Data &amp; SFC Calc (2)'!J22</f>
        <v>1486.6006214482129</v>
      </c>
      <c r="E31" s="34">
        <f t="shared" si="0"/>
        <v>2.6539029194732056E-2</v>
      </c>
      <c r="F31" s="34">
        <f t="shared" si="1"/>
        <v>-2.9962190193149829E-2</v>
      </c>
      <c r="G31" s="34">
        <f t="shared" si="2"/>
        <v>-5.6908830610706285E-2</v>
      </c>
    </row>
    <row r="32" spans="1:7">
      <c r="A32" s="31">
        <f>'Energy Data &amp; SFC Calc (2)'!C23</f>
        <v>45920</v>
      </c>
      <c r="B32" s="32">
        <f>'Energy Data &amp; SFC Calc (2)'!K23</f>
        <v>58.186</v>
      </c>
      <c r="C32" s="33">
        <f>'Energy Data &amp; SFC Calc (2)'!H23</f>
        <v>87593082.200000003</v>
      </c>
      <c r="D32" s="33">
        <f>'Energy Data &amp; SFC Calc (2)'!J23</f>
        <v>1505.3978998384491</v>
      </c>
      <c r="E32" s="34">
        <f t="shared" si="0"/>
        <v>1.3854091603433538E-2</v>
      </c>
      <c r="F32" s="34">
        <f t="shared" si="1"/>
        <v>-2.9834893725467659E-2</v>
      </c>
      <c r="G32" s="34">
        <f t="shared" si="2"/>
        <v>-4.4983941704690444E-2</v>
      </c>
    </row>
    <row r="33" spans="1:7">
      <c r="A33" s="31">
        <f>'Energy Data &amp; SFC Calc (2)'!C24</f>
        <v>45921</v>
      </c>
      <c r="B33" s="32">
        <f>'Energy Data &amp; SFC Calc (2)'!K24</f>
        <v>56.307000000000002</v>
      </c>
      <c r="C33" s="33">
        <f>'Energy Data &amp; SFC Calc (2)'!H24</f>
        <v>86867066.143000007</v>
      </c>
      <c r="D33" s="33">
        <f>'Energy Data &amp; SFC Calc (2)'!J24</f>
        <v>1542.7400881417941</v>
      </c>
      <c r="E33" s="34">
        <f t="shared" si="0"/>
        <v>-1.8886289899382458E-2</v>
      </c>
      <c r="F33" s="34">
        <f t="shared" si="1"/>
        <v>-3.7876116016152372E-2</v>
      </c>
      <c r="G33" s="34">
        <f t="shared" si="2"/>
        <v>-2.1294265051488792E-2</v>
      </c>
    </row>
    <row r="34" spans="1:7">
      <c r="A34" s="31">
        <f>'Energy Data &amp; SFC Calc (2)'!C25</f>
        <v>45922</v>
      </c>
      <c r="B34" s="32">
        <f>'Energy Data &amp; SFC Calc (2)'!K25</f>
        <v>56.253</v>
      </c>
      <c r="C34" s="33">
        <f>'Energy Data &amp; SFC Calc (2)'!H25</f>
        <v>86761444.787</v>
      </c>
      <c r="D34" s="33">
        <f>'Energy Data &amp; SFC Calc (2)'!J25</f>
        <v>1542.3434267861269</v>
      </c>
      <c r="E34" s="34">
        <f t="shared" si="0"/>
        <v>-1.9827205599835973E-2</v>
      </c>
      <c r="F34" s="34">
        <f t="shared" si="1"/>
        <v>-3.9045959016249632E-2</v>
      </c>
      <c r="G34" s="34">
        <f t="shared" si="2"/>
        <v>-2.1545904810258198E-2</v>
      </c>
    </row>
    <row r="35" spans="1:7">
      <c r="A35" s="31">
        <f>'Energy Data &amp; SFC Calc (2)'!C26</f>
        <v>45923</v>
      </c>
      <c r="B35" s="32">
        <f>'Energy Data &amp; SFC Calc (2)'!K26</f>
        <v>60.307000000000002</v>
      </c>
      <c r="C35" s="33">
        <f>'Energy Data &amp; SFC Calc (2)'!H26</f>
        <v>90219193.876000002</v>
      </c>
      <c r="D35" s="33">
        <f>'Energy Data &amp; SFC Calc (2)'!J26</f>
        <v>1495.9987045616595</v>
      </c>
      <c r="E35" s="34">
        <f t="shared" si="0"/>
        <v>5.0811169393466971E-2</v>
      </c>
      <c r="F35" s="34">
        <f t="shared" si="1"/>
        <v>-7.4855666270667864E-4</v>
      </c>
      <c r="G35" s="34">
        <f t="shared" si="2"/>
        <v>-5.0946738932819202E-2</v>
      </c>
    </row>
    <row r="36" spans="1:7">
      <c r="A36" s="31">
        <f>'Energy Data &amp; SFC Calc (2)'!C27</f>
        <v>45924</v>
      </c>
      <c r="B36" s="32">
        <f>'Energy Data &amp; SFC Calc (2)'!K27</f>
        <v>57.185000000000002</v>
      </c>
      <c r="C36" s="33">
        <f>'Energy Data &amp; SFC Calc (2)'!H27</f>
        <v>88682808.098000005</v>
      </c>
      <c r="D36" s="33">
        <f>'Energy Data &amp; SFC Calc (2)'!J27</f>
        <v>1550.8054227157472</v>
      </c>
      <c r="E36" s="34">
        <f t="shared" si="0"/>
        <v>-3.5876975846020898E-3</v>
      </c>
      <c r="F36" s="34">
        <f t="shared" si="1"/>
        <v>-1.7765287141361386E-2</v>
      </c>
      <c r="G36" s="34">
        <f t="shared" si="2"/>
        <v>-1.6177661637550078E-2</v>
      </c>
    </row>
    <row r="37" spans="1:7">
      <c r="A37" s="31">
        <f>'Energy Data &amp; SFC Calc (2)'!C28</f>
        <v>45925</v>
      </c>
      <c r="B37" s="32">
        <f>'Energy Data &amp; SFC Calc (2)'!K28</f>
        <v>57.359000000000002</v>
      </c>
      <c r="C37" s="33">
        <f>'Energy Data &amp; SFC Calc (2)'!H28</f>
        <v>88118570.030000001</v>
      </c>
      <c r="D37" s="33">
        <f>'Energy Data &amp; SFC Calc (2)'!J28</f>
        <v>1536.2640567304172</v>
      </c>
      <c r="E37" s="34">
        <f t="shared" si="0"/>
        <v>-5.5585810536307179E-4</v>
      </c>
      <c r="F37" s="34">
        <f t="shared" si="1"/>
        <v>-2.4014685740619268E-2</v>
      </c>
      <c r="G37" s="34">
        <f t="shared" si="2"/>
        <v>-2.5402623374928379E-2</v>
      </c>
    </row>
    <row r="38" spans="1:7">
      <c r="A38" s="31">
        <f>'Energy Data &amp; SFC Calc (2)'!C29</f>
        <v>45926</v>
      </c>
      <c r="B38" s="32">
        <f>'Energy Data &amp; SFC Calc (2)'!K29</f>
        <v>54.475999999999999</v>
      </c>
      <c r="C38" s="33">
        <f>'Energy Data &amp; SFC Calc (2)'!H29</f>
        <v>85875089.733999997</v>
      </c>
      <c r="D38" s="33">
        <f>'Energy Data &amp; SFC Calc (2)'!J29</f>
        <v>1576.3839072986268</v>
      </c>
      <c r="E38" s="34">
        <f t="shared" si="0"/>
        <v>-5.0790301890684342E-2</v>
      </c>
      <c r="F38" s="34">
        <f t="shared" si="1"/>
        <v>-4.8863066972643865E-2</v>
      </c>
      <c r="G38" s="34">
        <f t="shared" si="2"/>
        <v>4.9186776500675933E-5</v>
      </c>
    </row>
    <row r="39" spans="1:7">
      <c r="A39" s="31">
        <f>'Energy Data &amp; SFC Calc (2)'!C30</f>
        <v>45927</v>
      </c>
      <c r="B39" s="32">
        <f>'Energy Data &amp; SFC Calc (2)'!K30</f>
        <v>54.85</v>
      </c>
      <c r="C39" s="33">
        <f>'Energy Data &amp; SFC Calc (2)'!H30</f>
        <v>85821557.120000005</v>
      </c>
      <c r="D39" s="33">
        <f>'Energy Data &amp; SFC Calc (2)'!J30</f>
        <v>1564.6592000000001</v>
      </c>
      <c r="E39" s="34">
        <f t="shared" si="0"/>
        <v>-4.427358944680293E-2</v>
      </c>
      <c r="F39" s="34">
        <f t="shared" si="1"/>
        <v>-4.9455984505010986E-2</v>
      </c>
      <c r="G39" s="34">
        <f t="shared" si="2"/>
        <v>-7.3889023494388972E-3</v>
      </c>
    </row>
    <row r="40" spans="1:7">
      <c r="A40" s="31">
        <f>'Energy Data &amp; SFC Calc (2)'!C31</f>
        <v>45928</v>
      </c>
      <c r="B40" s="32">
        <f>'Energy Data &amp; SFC Calc (2)'!K31</f>
        <v>55.466000000000001</v>
      </c>
      <c r="C40" s="33">
        <f>'Energy Data &amp; SFC Calc (2)'!H31</f>
        <v>86444904.016000003</v>
      </c>
      <c r="D40" s="33">
        <f>'Energy Data &amp; SFC Calc (2)'!J31</f>
        <v>1558.5206075073017</v>
      </c>
      <c r="E40" s="34">
        <f t="shared" si="0"/>
        <v>-3.3540180715704082E-2</v>
      </c>
      <c r="F40" s="34">
        <f t="shared" si="1"/>
        <v>-4.2551907237551423E-2</v>
      </c>
      <c r="G40" s="34">
        <f t="shared" si="2"/>
        <v>-1.1283191298883444E-2</v>
      </c>
    </row>
    <row r="41" spans="1:7">
      <c r="A41" s="31">
        <f>'Energy Data &amp; SFC Calc (2)'!C32</f>
        <v>45929</v>
      </c>
      <c r="B41" s="32">
        <f>'Energy Data &amp; SFC Calc (2)'!K32</f>
        <v>53.482999999999997</v>
      </c>
      <c r="C41" s="33">
        <f>'Energy Data &amp; SFC Calc (2)'!H32</f>
        <v>86809367.844000012</v>
      </c>
      <c r="D41" s="33">
        <f>'Energy Data &amp; SFC Calc (2)'!J32</f>
        <v>1623.120764429819</v>
      </c>
      <c r="E41" s="34">
        <f t="shared" si="0"/>
        <v>-6.8092696160134247E-2</v>
      </c>
      <c r="F41" s="34">
        <f t="shared" si="1"/>
        <v>-3.8515171920742941E-2</v>
      </c>
      <c r="G41" s="34">
        <f t="shared" si="2"/>
        <v>2.9698789103787204E-2</v>
      </c>
    </row>
    <row r="42" spans="1:7">
      <c r="A42" s="31">
        <f>'Energy Data &amp; SFC Calc (2)'!C33</f>
        <v>45930</v>
      </c>
      <c r="B42" s="32">
        <f>'Energy Data &amp; SFC Calc (2)'!K33</f>
        <v>51.308999999999997</v>
      </c>
      <c r="C42" s="33">
        <f>'Energy Data &amp; SFC Calc (2)'!H33</f>
        <v>84444685.780000001</v>
      </c>
      <c r="D42" s="33">
        <f>'Energy Data &amp; SFC Calc (2)'!J33</f>
        <v>1645.8065013935177</v>
      </c>
      <c r="E42" s="34">
        <f t="shared" si="0"/>
        <v>-0.10597326528579787</v>
      </c>
      <c r="F42" s="34">
        <f t="shared" si="1"/>
        <v>-6.4705961972951531E-2</v>
      </c>
      <c r="G42" s="34">
        <f t="shared" si="2"/>
        <v>4.4090494510657274E-2</v>
      </c>
    </row>
    <row r="43" spans="1:7">
      <c r="A43" s="31">
        <f>'Energy Data &amp; SFC Calc (2)'!C34</f>
        <v>45931</v>
      </c>
      <c r="B43" s="32">
        <f>'Energy Data &amp; SFC Calc (2)'!K34</f>
        <v>53.101999999999997</v>
      </c>
      <c r="C43" s="33">
        <f>'Energy Data &amp; SFC Calc (2)'!H34</f>
        <v>84083139.802000001</v>
      </c>
      <c r="D43" s="33">
        <f>'Energy Data &amp; SFC Calc (2)'!J34</f>
        <v>1583.4269858385749</v>
      </c>
      <c r="E43" s="34">
        <f t="shared" si="0"/>
        <v>-7.4731379157778166E-2</v>
      </c>
      <c r="F43" s="34">
        <f t="shared" si="1"/>
        <v>-6.8710379711884539E-2</v>
      </c>
      <c r="G43" s="34">
        <f t="shared" si="2"/>
        <v>4.5172766457688418E-3</v>
      </c>
    </row>
    <row r="44" spans="1:7">
      <c r="A44" s="31">
        <f>'Energy Data &amp; SFC Calc (2)'!C35</f>
        <v>45932</v>
      </c>
      <c r="B44" s="32">
        <f>'Energy Data &amp; SFC Calc (2)'!K35</f>
        <v>53.345999999999997</v>
      </c>
      <c r="C44" s="33">
        <f>'Energy Data &amp; SFC Calc (2)'!H35</f>
        <v>81952663.534000009</v>
      </c>
      <c r="D44" s="33">
        <f>'Energy Data &amp; SFC Calc (2)'!J35</f>
        <v>1536.2475824616656</v>
      </c>
      <c r="E44" s="34">
        <f t="shared" si="0"/>
        <v>-7.0479834140914299E-2</v>
      </c>
      <c r="F44" s="34">
        <f t="shared" si="1"/>
        <v>-9.2307148806505812E-2</v>
      </c>
      <c r="G44" s="34">
        <f t="shared" si="2"/>
        <v>-2.5413074559434534E-2</v>
      </c>
    </row>
    <row r="45" spans="1:7">
      <c r="A45" s="31">
        <f>'Energy Data &amp; SFC Calc (2)'!C36</f>
        <v>45933</v>
      </c>
      <c r="B45" s="32">
        <f>'Energy Data &amp; SFC Calc (2)'!K36</f>
        <v>55.177999999999997</v>
      </c>
      <c r="C45" s="33">
        <f>'Energy Data &amp; SFC Calc (2)'!H36</f>
        <v>85785926.24000001</v>
      </c>
      <c r="D45" s="33">
        <f>'Energy Data &amp; SFC Calc (2)'!J36</f>
        <v>1554.7124984595312</v>
      </c>
      <c r="E45" s="34">
        <f t="shared" si="0"/>
        <v>-3.8558397784789311E-2</v>
      </c>
      <c r="F45" s="34">
        <f t="shared" si="1"/>
        <v>-4.9850625675450955E-2</v>
      </c>
      <c r="G45" s="34">
        <f t="shared" si="2"/>
        <v>-1.369903450734733E-2</v>
      </c>
    </row>
    <row r="46" spans="1:7">
      <c r="A46" s="31">
        <f>'Energy Data &amp; SFC Calc (2)'!C37</f>
        <v>45934</v>
      </c>
      <c r="B46" s="32">
        <f>'Energy Data &amp; SFC Calc (2)'!K37</f>
        <v>58.750999999999998</v>
      </c>
      <c r="C46" s="33">
        <f>'Energy Data &amp; SFC Calc (2)'!H37</f>
        <v>88785717.966999993</v>
      </c>
      <c r="D46" s="33">
        <f>'Energy Data &amp; SFC Calc (2)'!J37</f>
        <v>1511.2205403652702</v>
      </c>
      <c r="E46" s="34">
        <f t="shared" si="0"/>
        <v>2.3698857728548406E-2</v>
      </c>
      <c r="F46" s="34">
        <f t="shared" si="1"/>
        <v>-1.6625476079945578E-2</v>
      </c>
      <c r="G46" s="34">
        <f t="shared" si="2"/>
        <v>-4.1290090925842016E-2</v>
      </c>
    </row>
    <row r="47" spans="1:7">
      <c r="A47" s="31">
        <f>'Energy Data &amp; SFC Calc (2)'!C38</f>
        <v>45935</v>
      </c>
      <c r="B47" s="32">
        <f>'Energy Data &amp; SFC Calc (2)'!K38</f>
        <v>59.634</v>
      </c>
      <c r="C47" s="33">
        <f>'Energy Data &amp; SFC Calc (2)'!H38</f>
        <v>89294927.901999995</v>
      </c>
      <c r="D47" s="33">
        <f>'Energy Data &amp; SFC Calc (2)'!J38</f>
        <v>1497.3828336519434</v>
      </c>
      <c r="E47" s="34">
        <f t="shared" si="0"/>
        <v>3.9084571867444851E-2</v>
      </c>
      <c r="F47" s="34">
        <f t="shared" si="1"/>
        <v>-1.0985559110505583E-2</v>
      </c>
      <c r="G47" s="34">
        <f t="shared" si="2"/>
        <v>-5.0068655133103102E-2</v>
      </c>
    </row>
    <row r="48" spans="1:7">
      <c r="A48" s="31">
        <f>'Energy Data &amp; SFC Calc (2)'!C39</f>
        <v>45936</v>
      </c>
      <c r="B48" s="32">
        <f>'Energy Data &amp; SFC Calc (2)'!K39</f>
        <v>56.718000000000004</v>
      </c>
      <c r="C48" s="33">
        <f>'Energy Data &amp; SFC Calc (2)'!H39</f>
        <v>87325043.5</v>
      </c>
      <c r="D48" s="33">
        <f>'Energy Data &amp; SFC Calc (2)'!J39</f>
        <v>1539.635450826898</v>
      </c>
      <c r="E48" s="34">
        <f t="shared" si="0"/>
        <v>-1.1724875957042191E-2</v>
      </c>
      <c r="F48" s="34">
        <f t="shared" si="1"/>
        <v>-3.2803641797118366E-2</v>
      </c>
      <c r="G48" s="34">
        <f t="shared" si="2"/>
        <v>-2.3263829703616179E-2</v>
      </c>
    </row>
    <row r="49" spans="1:7">
      <c r="A49" s="31">
        <f>'Energy Data &amp; SFC Calc (2)'!C40</f>
        <v>45937</v>
      </c>
      <c r="B49" s="32">
        <f>'Energy Data &amp; SFC Calc (2)'!K40</f>
        <v>55.295000000000002</v>
      </c>
      <c r="C49" s="33">
        <f>'Energy Data &amp; SFC Calc (2)'!H40</f>
        <v>86547098.687999994</v>
      </c>
      <c r="D49" s="33">
        <f>'Energy Data &amp; SFC Calc (2)'!J40</f>
        <v>1565.1885104982366</v>
      </c>
      <c r="E49" s="34">
        <f t="shared" si="0"/>
        <v>-3.6519747100473343E-2</v>
      </c>
      <c r="F49" s="34">
        <f t="shared" si="1"/>
        <v>-4.1420017568511325E-2</v>
      </c>
      <c r="G49" s="34">
        <f t="shared" si="2"/>
        <v>-7.0531107120954672E-3</v>
      </c>
    </row>
    <row r="50" spans="1:7">
      <c r="A50" s="31">
        <f>'Energy Data &amp; SFC Calc (2)'!C41</f>
        <v>45938</v>
      </c>
      <c r="B50" s="32">
        <f>'Energy Data &amp; SFC Calc (2)'!K41</f>
        <v>55.517000000000003</v>
      </c>
      <c r="C50" s="33">
        <f>'Energy Data &amp; SFC Calc (2)'!H41</f>
        <v>86137049.215999991</v>
      </c>
      <c r="D50" s="33">
        <f>'Energy Data &amp; SFC Calc (2)'!J41</f>
        <v>1551.5436571860869</v>
      </c>
      <c r="E50" s="34">
        <f t="shared" si="0"/>
        <v>-3.2651538109720213E-2</v>
      </c>
      <c r="F50" s="34">
        <f t="shared" si="1"/>
        <v>-4.5961651217985677E-2</v>
      </c>
      <c r="G50" s="34">
        <f t="shared" si="2"/>
        <v>-1.5709329793831439E-2</v>
      </c>
    </row>
    <row r="51" spans="1:7">
      <c r="A51" s="31">
        <f>'Energy Data &amp; SFC Calc (2)'!C42</f>
        <v>45939</v>
      </c>
      <c r="B51" s="32">
        <f>'Energy Data &amp; SFC Calc (2)'!K42</f>
        <v>56.433999999999997</v>
      </c>
      <c r="C51" s="33">
        <f>'Energy Data &amp; SFC Calc (2)'!H42</f>
        <v>86860923.660000011</v>
      </c>
      <c r="D51" s="33">
        <f>'Energy Data &amp; SFC Calc (2)'!J42</f>
        <v>1539.1594368643018</v>
      </c>
      <c r="E51" s="34">
        <f t="shared" si="0"/>
        <v>-1.6673395566834559E-2</v>
      </c>
      <c r="F51" s="34">
        <f t="shared" si="1"/>
        <v>-3.7944149044821018E-2</v>
      </c>
      <c r="G51" s="34">
        <f t="shared" si="2"/>
        <v>-2.3565810315055113E-2</v>
      </c>
    </row>
    <row r="52" spans="1:7">
      <c r="A52" s="31">
        <f>'Energy Data &amp; SFC Calc (2)'!C43</f>
        <v>45940</v>
      </c>
      <c r="B52" s="32">
        <f>'Energy Data &amp; SFC Calc (2)'!K43</f>
        <v>51.808999999999997</v>
      </c>
      <c r="C52" s="33">
        <f>'Energy Data &amp; SFC Calc (2)'!H43</f>
        <v>84208516.041999996</v>
      </c>
      <c r="D52" s="33">
        <f>'Energy Data &amp; SFC Calc (2)'!J43</f>
        <v>1625.3646285780462</v>
      </c>
      <c r="E52" s="34">
        <f t="shared" si="0"/>
        <v>-9.7261082874191662E-2</v>
      </c>
      <c r="F52" s="34">
        <f t="shared" si="1"/>
        <v>-6.7321735196257504E-2</v>
      </c>
      <c r="G52" s="34">
        <f t="shared" si="2"/>
        <v>3.1122284044506898E-2</v>
      </c>
    </row>
    <row r="53" spans="1:7">
      <c r="A53" s="31">
        <f>'Energy Data &amp; SFC Calc (2)'!C44</f>
        <v>45941</v>
      </c>
      <c r="B53" s="32">
        <f>'Energy Data &amp; SFC Calc (2)'!K44</f>
        <v>53.777000000000001</v>
      </c>
      <c r="C53" s="33">
        <f>'Energy Data &amp; SFC Calc (2)'!H44</f>
        <v>85152848.849999994</v>
      </c>
      <c r="D53" s="33">
        <f>'Energy Data &amp; SFC Calc (2)'!J44</f>
        <v>1583.443644122952</v>
      </c>
      <c r="E53" s="34">
        <f t="shared" si="0"/>
        <v>-6.2969932902109726E-2</v>
      </c>
      <c r="F53" s="34">
        <f t="shared" si="1"/>
        <v>-5.6862476131255169E-2</v>
      </c>
      <c r="G53" s="34">
        <f t="shared" si="2"/>
        <v>4.5278445687646496E-3</v>
      </c>
    </row>
    <row r="54" spans="1:7">
      <c r="A54" s="31">
        <f>'Energy Data &amp; SFC Calc (2)'!C45</f>
        <v>45942</v>
      </c>
      <c r="B54" s="32">
        <f>'Energy Data &amp; SFC Calc (2)'!K45</f>
        <v>52.929000000000002</v>
      </c>
      <c r="C54" s="33">
        <f>'Energy Data &amp; SFC Calc (2)'!H45</f>
        <v>85533618.5</v>
      </c>
      <c r="D54" s="33">
        <f>'Energy Data &amp; SFC Calc (2)'!J45</f>
        <v>1616.0066976515709</v>
      </c>
      <c r="E54" s="34">
        <f t="shared" si="0"/>
        <v>-7.7745794272193747E-2</v>
      </c>
      <c r="F54" s="34">
        <f t="shared" si="1"/>
        <v>-5.2645140484646635E-2</v>
      </c>
      <c r="G54" s="34">
        <f t="shared" si="2"/>
        <v>2.518566469080552E-2</v>
      </c>
    </row>
    <row r="55" spans="1:7">
      <c r="A55" s="31">
        <f>'Energy Data &amp; SFC Calc (2)'!C46</f>
        <v>45943</v>
      </c>
      <c r="B55" s="32">
        <f>'Energy Data &amp; SFC Calc (2)'!K46</f>
        <v>57.018999999999998</v>
      </c>
      <c r="C55" s="33">
        <f>'Energy Data &amp; SFC Calc (2)'!H46</f>
        <v>87926831.33600001</v>
      </c>
      <c r="D55" s="33">
        <f>'Energy Data &amp; SFC Calc (2)'!J46</f>
        <v>1542.0619676949791</v>
      </c>
      <c r="E55" s="34">
        <f t="shared" si="0"/>
        <v>-6.4801421452553853E-3</v>
      </c>
      <c r="F55" s="34">
        <f t="shared" si="1"/>
        <v>-2.6138348771641673E-2</v>
      </c>
      <c r="G55" s="34">
        <f t="shared" si="2"/>
        <v>-2.1724460892891373E-2</v>
      </c>
    </row>
    <row r="56" spans="1:7">
      <c r="A56" s="31">
        <f>'Energy Data &amp; SFC Calc (2)'!C47</f>
        <v>45944</v>
      </c>
      <c r="B56" s="32">
        <f>'Energy Data &amp; SFC Calc (2)'!K47</f>
        <v>57.137</v>
      </c>
      <c r="C56" s="33">
        <f>'Energy Data &amp; SFC Calc (2)'!H47</f>
        <v>87724753.995999992</v>
      </c>
      <c r="D56" s="33">
        <f>'Energy Data &amp; SFC Calc (2)'!J47</f>
        <v>1535.3405673381519</v>
      </c>
      <c r="E56" s="34">
        <f t="shared" si="0"/>
        <v>-4.4240670961163131E-3</v>
      </c>
      <c r="F56" s="34">
        <f t="shared" si="1"/>
        <v>-2.8376520772361524E-2</v>
      </c>
      <c r="G56" s="34">
        <f t="shared" si="2"/>
        <v>-2.5988479911179252E-2</v>
      </c>
    </row>
    <row r="57" spans="1:7">
      <c r="A57" s="31">
        <f>'Energy Data &amp; SFC Calc (2)'!C48</f>
        <v>45945</v>
      </c>
      <c r="B57" s="32">
        <f>'Energy Data &amp; SFC Calc (2)'!K48</f>
        <v>57.234000000000002</v>
      </c>
      <c r="C57" s="33">
        <f>'Energy Data &amp; SFC Calc (2)'!H48</f>
        <v>87495867.488000005</v>
      </c>
      <c r="D57" s="33">
        <f>'Energy Data &amp; SFC Calc (2)'!J48</f>
        <v>1528.7393417898452</v>
      </c>
      <c r="E57" s="34">
        <f t="shared" si="0"/>
        <v>-2.7339037082646511E-3</v>
      </c>
      <c r="F57" s="34">
        <f t="shared" si="1"/>
        <v>-3.0911626259934044E-2</v>
      </c>
      <c r="G57" s="34">
        <f t="shared" si="2"/>
        <v>-3.0176260699061874E-2</v>
      </c>
    </row>
    <row r="58" spans="1:7">
      <c r="A58" s="31">
        <f>'Energy Data &amp; SFC Calc (2)'!C49</f>
        <v>45946</v>
      </c>
      <c r="B58" s="32">
        <f>'Energy Data &amp; SFC Calc (2)'!K49</f>
        <v>59.68</v>
      </c>
      <c r="C58" s="33">
        <f>'Energy Data &amp; SFC Calc (2)'!H49</f>
        <v>88887930.464000002</v>
      </c>
      <c r="D58" s="33">
        <f>'Energy Data &amp; SFC Calc (2)'!J49</f>
        <v>1489.4090225201073</v>
      </c>
      <c r="E58" s="34">
        <f t="shared" si="0"/>
        <v>3.9886092649312754E-2</v>
      </c>
      <c r="F58" s="34">
        <f t="shared" si="1"/>
        <v>-1.5493388984435197E-2</v>
      </c>
      <c r="G58" s="34">
        <f t="shared" si="2"/>
        <v>-5.5127196584193516E-2</v>
      </c>
    </row>
    <row r="59" spans="1:7">
      <c r="A59" s="31">
        <f>'Energy Data &amp; SFC Calc (2)'!C50</f>
        <v>45947</v>
      </c>
      <c r="B59" s="32">
        <f>'Energy Data &amp; SFC Calc (2)'!K50</f>
        <v>60.174999999999997</v>
      </c>
      <c r="C59" s="33">
        <f>'Energy Data &amp; SFC Calc (2)'!H50</f>
        <v>89294937.137999997</v>
      </c>
      <c r="D59" s="33">
        <f>'Energy Data &amp; SFC Calc (2)'!J50</f>
        <v>1483.9208498213543</v>
      </c>
      <c r="E59" s="34">
        <f t="shared" si="0"/>
        <v>4.8511153236802773E-2</v>
      </c>
      <c r="F59" s="34">
        <f t="shared" si="1"/>
        <v>-1.0985456814243233E-2</v>
      </c>
      <c r="G59" s="34">
        <f t="shared" si="2"/>
        <v>-5.8608862832412401E-2</v>
      </c>
    </row>
    <row r="60" spans="1:7">
      <c r="A60" s="31">
        <f>'Energy Data &amp; SFC Calc (2)'!C51</f>
        <v>45948</v>
      </c>
      <c r="B60" s="32">
        <f>'Energy Data &amp; SFC Calc (2)'!K51</f>
        <v>60.728000000000002</v>
      </c>
      <c r="C60" s="33">
        <f>'Energy Data &amp; SFC Calc (2)'!H51</f>
        <v>90523368.309</v>
      </c>
      <c r="D60" s="33">
        <f>'Energy Data &amp; SFC Calc (2)'!J51</f>
        <v>1490.636416628244</v>
      </c>
      <c r="E60" s="34">
        <f t="shared" si="0"/>
        <v>5.8146826984039279E-2</v>
      </c>
      <c r="F60" s="34">
        <f t="shared" si="1"/>
        <v>2.6204242397307453E-3</v>
      </c>
      <c r="G60" s="34">
        <f t="shared" si="2"/>
        <v>-5.4348544585772873E-2</v>
      </c>
    </row>
    <row r="61" spans="1:7">
      <c r="A61" s="31">
        <f>'Energy Data &amp; SFC Calc (2)'!C52</f>
        <v>45949</v>
      </c>
      <c r="B61" s="32">
        <f>'Energy Data &amp; SFC Calc (2)'!K52</f>
        <v>60.151000000000003</v>
      </c>
      <c r="C61" s="33">
        <f>'Energy Data &amp; SFC Calc (2)'!H52</f>
        <v>90124431.879999995</v>
      </c>
      <c r="D61" s="33">
        <f>'Energy Data &amp; SFC Calc (2)'!J52</f>
        <v>1498.3031351099733</v>
      </c>
      <c r="E61" s="34">
        <f t="shared" si="0"/>
        <v>4.8092968481045828E-2</v>
      </c>
      <c r="F61" s="34">
        <f t="shared" si="1"/>
        <v>-1.798123359197934E-3</v>
      </c>
      <c r="G61" s="34">
        <f t="shared" si="2"/>
        <v>-4.9484821004607604E-2</v>
      </c>
    </row>
    <row r="62" spans="1:7">
      <c r="A62" s="31">
        <f>'Energy Data &amp; SFC Calc (2)'!C53</f>
        <v>45950</v>
      </c>
      <c r="B62" s="32">
        <f>'Energy Data &amp; SFC Calc (2)'!K53</f>
        <v>60.226999999999997</v>
      </c>
      <c r="C62" s="33">
        <f>'Energy Data &amp; SFC Calc (2)'!H53</f>
        <v>89089393.033999994</v>
      </c>
      <c r="D62" s="33">
        <f>'Energy Data &amp; SFC Calc (2)'!J53</f>
        <v>1479.2268091387582</v>
      </c>
      <c r="E62" s="34">
        <f t="shared" si="0"/>
        <v>4.9417220207609747E-2</v>
      </c>
      <c r="F62" s="34">
        <f t="shared" si="1"/>
        <v>-1.3262026064837174E-2</v>
      </c>
      <c r="G62" s="34">
        <f t="shared" si="2"/>
        <v>-6.1586736144612297E-2</v>
      </c>
    </row>
    <row r="63" spans="1:7">
      <c r="A63" s="31">
        <f>'Energy Data &amp; SFC Calc (2)'!C54</f>
        <v>45951</v>
      </c>
      <c r="B63" s="32">
        <f>'Energy Data &amp; SFC Calc (2)'!K54</f>
        <v>60.183</v>
      </c>
      <c r="C63" s="33">
        <f>'Energy Data &amp; SFC Calc (2)'!H54</f>
        <v>89346913.791999996</v>
      </c>
      <c r="D63" s="33">
        <f>'Energy Data &amp; SFC Calc (2)'!J54</f>
        <v>1484.5872387883621</v>
      </c>
      <c r="E63" s="34">
        <f t="shared" si="0"/>
        <v>4.8650548155388496E-2</v>
      </c>
      <c r="F63" s="34">
        <f t="shared" si="1"/>
        <v>-1.0409772812890572E-2</v>
      </c>
      <c r="G63" s="34">
        <f t="shared" si="2"/>
        <v>-5.8186109376577533E-2</v>
      </c>
    </row>
    <row r="64" spans="1:7">
      <c r="A64" s="31">
        <f>'Energy Data &amp; SFC Calc (2)'!C55</f>
        <v>45952</v>
      </c>
      <c r="B64" s="32">
        <f>'Energy Data &amp; SFC Calc (2)'!K55</f>
        <v>60.372</v>
      </c>
      <c r="C64" s="33">
        <f>'Energy Data &amp; SFC Calc (2)'!H55</f>
        <v>89634399.100999996</v>
      </c>
      <c r="D64" s="33">
        <f>'Energy Data &amp; SFC Calc (2)'!J55</f>
        <v>1484.7015023686477</v>
      </c>
      <c r="E64" s="34">
        <f t="shared" si="0"/>
        <v>5.1943753106975743E-2</v>
      </c>
      <c r="F64" s="34">
        <f t="shared" si="1"/>
        <v>-7.2256376237495035E-3</v>
      </c>
      <c r="G64" s="34">
        <f t="shared" si="2"/>
        <v>-5.8113621196500542E-2</v>
      </c>
    </row>
    <row r="65" spans="1:7">
      <c r="A65" s="31">
        <f>'Energy Data &amp; SFC Calc (2)'!C56</f>
        <v>45953</v>
      </c>
      <c r="B65" s="32">
        <f>'Energy Data &amp; SFC Calc (2)'!K56</f>
        <v>56.613999999999997</v>
      </c>
      <c r="C65" s="33">
        <f>'Energy Data &amp; SFC Calc (2)'!H56</f>
        <v>88598169.815000013</v>
      </c>
      <c r="D65" s="33">
        <f>'Energy Data &amp; SFC Calc (2)'!J56</f>
        <v>1564.951598809482</v>
      </c>
      <c r="E65" s="34">
        <f t="shared" si="0"/>
        <v>-1.353700989865636E-2</v>
      </c>
      <c r="F65" s="34">
        <f t="shared" si="1"/>
        <v>-1.8702725427116595E-2</v>
      </c>
      <c r="G65" s="34">
        <f t="shared" si="2"/>
        <v>-7.2034061703146746E-3</v>
      </c>
    </row>
    <row r="66" spans="1:7">
      <c r="A66" s="31">
        <f>'Energy Data &amp; SFC Calc (2)'!C57</f>
        <v>45954</v>
      </c>
      <c r="B66" s="32">
        <f>'Energy Data &amp; SFC Calc (2)'!K57</f>
        <v>55.497</v>
      </c>
      <c r="C66" s="33">
        <f>'Energy Data &amp; SFC Calc (2)'!H57</f>
        <v>86128412.590000004</v>
      </c>
      <c r="D66" s="33">
        <f>'Energy Data &amp; SFC Calc (2)'!J57</f>
        <v>1551.9471789466097</v>
      </c>
      <c r="E66" s="34">
        <f t="shared" si="0"/>
        <v>-3.3000025406184519E-2</v>
      </c>
      <c r="F66" s="34">
        <f t="shared" si="1"/>
        <v>-4.6057308922574758E-2</v>
      </c>
      <c r="G66" s="34">
        <f t="shared" si="2"/>
        <v>-1.5453337832362468E-2</v>
      </c>
    </row>
    <row r="67" spans="1:7">
      <c r="A67" s="31">
        <f>'Energy Data &amp; SFC Calc (2)'!C58</f>
        <v>45955</v>
      </c>
      <c r="B67" s="32">
        <f>'Energy Data &amp; SFC Calc (2)'!K58</f>
        <v>56.243000000000002</v>
      </c>
      <c r="C67" s="33">
        <f>'Energy Data &amp; SFC Calc (2)'!H58</f>
        <v>88027560.377000004</v>
      </c>
      <c r="D67" s="33">
        <f>'Energy Data &amp; SFC Calc (2)'!J58</f>
        <v>1565.1291783333038</v>
      </c>
      <c r="E67" s="34">
        <f t="shared" si="0"/>
        <v>-2.0001449248068126E-2</v>
      </c>
      <c r="F67" s="34">
        <f t="shared" si="1"/>
        <v>-2.5022692165980076E-2</v>
      </c>
      <c r="G67" s="34">
        <f t="shared" si="2"/>
        <v>-7.0907507076676257E-3</v>
      </c>
    </row>
    <row r="68" spans="1:7">
      <c r="A68" s="31">
        <f>'Energy Data &amp; SFC Calc (2)'!C59</f>
        <v>45956</v>
      </c>
      <c r="B68" s="32">
        <f>'Energy Data &amp; SFC Calc (2)'!K59</f>
        <v>58.91</v>
      </c>
      <c r="C68" s="33">
        <f>'Energy Data &amp; SFC Calc (2)'!H59</f>
        <v>89683543.954999998</v>
      </c>
      <c r="D68" s="33">
        <f>'Energy Data &amp; SFC Calc (2)'!J59</f>
        <v>1522.3823451875742</v>
      </c>
      <c r="E68" s="34">
        <f t="shared" si="0"/>
        <v>2.6469331735439194E-2</v>
      </c>
      <c r="F68" s="34">
        <f t="shared" si="1"/>
        <v>-6.6813181260647614E-3</v>
      </c>
      <c r="G68" s="34">
        <f t="shared" si="2"/>
        <v>-3.420910400138677E-2</v>
      </c>
    </row>
    <row r="69" spans="1:7">
      <c r="A69" s="31">
        <f>'Energy Data &amp; SFC Calc (2)'!C60</f>
        <v>45957</v>
      </c>
      <c r="B69" s="32">
        <f>'Energy Data &amp; SFC Calc (2)'!K60</f>
        <v>59.103000000000002</v>
      </c>
      <c r="C69" s="33">
        <f>'Energy Data &amp; SFC Calc (2)'!H60</f>
        <v>89052122.5</v>
      </c>
      <c r="D69" s="33">
        <f>'Energy Data &amp; SFC Calc (2)'!J60</f>
        <v>1506.7276195793784</v>
      </c>
      <c r="E69" s="34">
        <f t="shared" si="0"/>
        <v>2.9832234146319303E-2</v>
      </c>
      <c r="F69" s="34">
        <f t="shared" si="1"/>
        <v>-1.3674827745870033E-2</v>
      </c>
      <c r="G69" s="34">
        <f t="shared" si="2"/>
        <v>-4.4140374893712475E-2</v>
      </c>
    </row>
    <row r="70" spans="1:7">
      <c r="A70" s="31">
        <f>'Energy Data &amp; SFC Calc (2)'!C61</f>
        <v>45958</v>
      </c>
      <c r="B70" s="32">
        <f>'Energy Data &amp; SFC Calc (2)'!K61</f>
        <v>59.165999999999997</v>
      </c>
      <c r="C70" s="33">
        <f>'Energy Data &amp; SFC Calc (2)'!H61</f>
        <v>91000481.75</v>
      </c>
      <c r="D70" s="33">
        <f>'Energy Data &amp; SFC Calc (2)'!J61</f>
        <v>1538.0536414494811</v>
      </c>
      <c r="E70" s="34">
        <f t="shared" si="0"/>
        <v>3.0929969130181423E-2</v>
      </c>
      <c r="F70" s="34">
        <f t="shared" si="1"/>
        <v>7.9048462576236656E-3</v>
      </c>
      <c r="G70" s="34">
        <f t="shared" si="2"/>
        <v>-2.426732077847249E-2</v>
      </c>
    </row>
    <row r="71" spans="1:7">
      <c r="A71" s="31">
        <f>'Energy Data &amp; SFC Calc (2)'!C62</f>
        <v>45959</v>
      </c>
      <c r="B71" s="32">
        <f>'Energy Data &amp; SFC Calc (2)'!K62</f>
        <v>59.546999999999997</v>
      </c>
      <c r="C71" s="33">
        <f>'Energy Data &amp; SFC Calc (2)'!H62</f>
        <v>90612298.219999999</v>
      </c>
      <c r="D71" s="33">
        <f>'Energy Data &amp; SFC Calc (2)'!J62</f>
        <v>1521.6937582078021</v>
      </c>
      <c r="E71" s="34">
        <f t="shared" si="0"/>
        <v>3.7568652127825342E-2</v>
      </c>
      <c r="F71" s="34">
        <f t="shared" si="1"/>
        <v>3.6053958195561009E-3</v>
      </c>
      <c r="G71" s="34">
        <f t="shared" si="2"/>
        <v>-3.4645939753107924E-2</v>
      </c>
    </row>
    <row r="72" spans="1:7">
      <c r="A72" s="31">
        <f>'Energy Data &amp; SFC Calc (2)'!C63</f>
        <v>45960</v>
      </c>
      <c r="B72" s="32">
        <f>'Energy Data &amp; SFC Calc (2)'!K63</f>
        <v>60.4</v>
      </c>
      <c r="C72" s="33">
        <f>'Energy Data &amp; SFC Calc (2)'!H63</f>
        <v>92569069.614999995</v>
      </c>
      <c r="D72" s="33">
        <f>'Energy Data &amp; SFC Calc (2)'!J63</f>
        <v>1532.6004903145695</v>
      </c>
      <c r="E72" s="34">
        <f t="shared" si="0"/>
        <v>5.2431635322025549E-2</v>
      </c>
      <c r="F72" s="34">
        <f t="shared" si="1"/>
        <v>2.5278241216759589E-2</v>
      </c>
      <c r="G72" s="34">
        <f t="shared" si="2"/>
        <v>-2.7726769541295049E-2</v>
      </c>
    </row>
    <row r="73" spans="1:7">
      <c r="A73" s="31">
        <f>'Energy Data &amp; SFC Calc (2)'!C64</f>
        <v>45961</v>
      </c>
      <c r="B73" s="32">
        <f>'Energy Data &amp; SFC Calc (2)'!K64</f>
        <v>58.92</v>
      </c>
      <c r="C73" s="33">
        <f>'Energy Data &amp; SFC Calc (2)'!H64</f>
        <v>89762611.963999987</v>
      </c>
      <c r="D73" s="33">
        <f>'Energy Data &amp; SFC Calc (2)'!J64</f>
        <v>1523.4659192803799</v>
      </c>
      <c r="E73" s="34">
        <f t="shared" si="0"/>
        <v>2.6643575383671347E-2</v>
      </c>
      <c r="F73" s="34">
        <f t="shared" si="1"/>
        <v>-5.8055751857805094E-3</v>
      </c>
      <c r="G73" s="34">
        <f t="shared" si="2"/>
        <v>-3.3521690621114875E-2</v>
      </c>
    </row>
    <row r="74" spans="1:7">
      <c r="A74" s="31">
        <f>'Energy Data &amp; SFC Calc (2)'!C65</f>
        <v>45962</v>
      </c>
      <c r="B74" s="32">
        <f>'Energy Data &amp; SFC Calc (2)'!K65</f>
        <v>59.442999999999998</v>
      </c>
      <c r="C74" s="33">
        <f>'Energy Data &amp; SFC Calc (2)'!H65</f>
        <v>90683234.399999991</v>
      </c>
      <c r="D74" s="33">
        <f>'Energy Data &amp; SFC Calc (2)'!J65</f>
        <v>1525.5494238177748</v>
      </c>
      <c r="E74" s="34">
        <f t="shared" si="0"/>
        <v>3.5756518186211395E-2</v>
      </c>
      <c r="F74" s="34">
        <f t="shared" si="1"/>
        <v>4.3910720953521665E-3</v>
      </c>
      <c r="G74" s="34">
        <f t="shared" si="2"/>
        <v>-3.2199926925976952E-2</v>
      </c>
    </row>
    <row r="75" spans="1:7">
      <c r="A75" s="31">
        <f>'Energy Data &amp; SFC Calc (2)'!C66</f>
        <v>45963</v>
      </c>
      <c r="B75" s="32">
        <f>'Energy Data &amp; SFC Calc (2)'!K66</f>
        <v>58.655000000000001</v>
      </c>
      <c r="C75" s="33">
        <f>'Energy Data &amp; SFC Calc (2)'!H66</f>
        <v>88906958.491999999</v>
      </c>
      <c r="D75" s="33">
        <f>'Energy Data &amp; SFC Calc (2)'!J66</f>
        <v>1515.7609494842725</v>
      </c>
      <c r="E75" s="34">
        <f t="shared" si="0"/>
        <v>2.2026118705520181E-2</v>
      </c>
      <c r="F75" s="34">
        <f t="shared" si="1"/>
        <v>-1.5282637994252335E-2</v>
      </c>
      <c r="G75" s="34">
        <f t="shared" si="2"/>
        <v>-3.8409680623460729E-2</v>
      </c>
    </row>
    <row r="76" spans="1:7">
      <c r="A76" s="31">
        <f>'Energy Data &amp; SFC Calc (2)'!C67</f>
        <v>45964</v>
      </c>
      <c r="B76" s="32">
        <f>'Energy Data &amp; SFC Calc (2)'!K67</f>
        <v>60.084000000000003</v>
      </c>
      <c r="C76" s="33">
        <f>'Energy Data &amp; SFC Calc (2)'!H67</f>
        <v>91430089.765000001</v>
      </c>
      <c r="D76" s="33">
        <f>'Energy Data &amp; SFC Calc (2)'!J67</f>
        <v>1521.704443196192</v>
      </c>
      <c r="E76" s="34">
        <f t="shared" si="0"/>
        <v>4.6925536037890625E-2</v>
      </c>
      <c r="F76" s="34">
        <f t="shared" si="1"/>
        <v>1.2663106785289591E-2</v>
      </c>
      <c r="G76" s="34">
        <f t="shared" si="2"/>
        <v>-3.4639161255877404E-2</v>
      </c>
    </row>
    <row r="77" spans="1:7">
      <c r="A77" s="31">
        <f>'Energy Data &amp; SFC Calc (2)'!C68</f>
        <v>45965</v>
      </c>
      <c r="B77" s="32">
        <f>'Energy Data &amp; SFC Calc (2)'!K68</f>
        <v>59.198</v>
      </c>
      <c r="C77" s="33">
        <f>'Energy Data &amp; SFC Calc (2)'!H68</f>
        <v>90719376.600000009</v>
      </c>
      <c r="D77" s="33">
        <f>'Energy Data &amp; SFC Calc (2)'!J68</f>
        <v>1532.4736747863105</v>
      </c>
      <c r="E77" s="34">
        <f t="shared" ref="E77:E140" si="3">B77/$B$8-1</f>
        <v>3.1487548804524312E-2</v>
      </c>
      <c r="F77" s="34">
        <f t="shared" ref="F77:F140" si="4">C77/$B$9-1</f>
        <v>4.7913765534595143E-3</v>
      </c>
      <c r="G77" s="34">
        <f t="shared" ref="G77:G140" si="5">D77/$B$10-1</f>
        <v>-2.7807220607382943E-2</v>
      </c>
    </row>
    <row r="78" spans="1:7">
      <c r="A78" s="31">
        <f>'Energy Data &amp; SFC Calc (2)'!C69</f>
        <v>45966</v>
      </c>
      <c r="B78" s="32">
        <f>'Energy Data &amp; SFC Calc (2)'!K69</f>
        <v>57.271999999999998</v>
      </c>
      <c r="C78" s="33">
        <f>'Energy Data &amp; SFC Calc (2)'!H69</f>
        <v>89319665.044999987</v>
      </c>
      <c r="D78" s="33">
        <f>'Energy Data &amp; SFC Calc (2)'!J69</f>
        <v>1559.5695111922055</v>
      </c>
      <c r="E78" s="34">
        <f t="shared" si="3"/>
        <v>-2.0717778449826918E-3</v>
      </c>
      <c r="F78" s="34">
        <f t="shared" si="4"/>
        <v>-1.071157499709452E-2</v>
      </c>
      <c r="G78" s="34">
        <f t="shared" si="5"/>
        <v>-1.0617772632632083E-2</v>
      </c>
    </row>
    <row r="79" spans="1:7">
      <c r="A79" s="31">
        <f>'Energy Data &amp; SFC Calc (2)'!C70</f>
        <v>45967</v>
      </c>
      <c r="B79" s="32">
        <f>'Energy Data &amp; SFC Calc (2)'!K70</f>
        <v>57.185000000000002</v>
      </c>
      <c r="C79" s="33">
        <f>'Energy Data &amp; SFC Calc (2)'!H70</f>
        <v>90264318.957999989</v>
      </c>
      <c r="D79" s="33">
        <f>'Energy Data &amp; SFC Calc (2)'!J70</f>
        <v>1578.4614664335052</v>
      </c>
      <c r="E79" s="34">
        <f t="shared" si="3"/>
        <v>-3.5876975846020898E-3</v>
      </c>
      <c r="F79" s="34">
        <f t="shared" si="4"/>
        <v>-2.487594312974295E-4</v>
      </c>
      <c r="G79" s="34">
        <f t="shared" si="5"/>
        <v>1.3671787413360725E-3</v>
      </c>
    </row>
    <row r="80" spans="1:7">
      <c r="A80" s="31">
        <f>'Energy Data &amp; SFC Calc (2)'!C71</f>
        <v>45968</v>
      </c>
      <c r="B80" s="32">
        <f>'Energy Data &amp; SFC Calc (2)'!K71</f>
        <v>57.131</v>
      </c>
      <c r="C80" s="33">
        <f>'Energy Data &amp; SFC Calc (2)'!H71</f>
        <v>89721231.088</v>
      </c>
      <c r="D80" s="33">
        <f>'Energy Data &amp; SFC Calc (2)'!J71</f>
        <v>1570.4474118779647</v>
      </c>
      <c r="E80" s="34">
        <f t="shared" si="3"/>
        <v>-4.5286132850554939E-3</v>
      </c>
      <c r="F80" s="34">
        <f t="shared" si="4"/>
        <v>-6.2639022699969571E-3</v>
      </c>
      <c r="G80" s="34">
        <f t="shared" si="5"/>
        <v>-3.7168929140164453E-3</v>
      </c>
    </row>
    <row r="81" spans="1:7">
      <c r="A81" s="31">
        <f>'Energy Data &amp; SFC Calc (2)'!C72</f>
        <v>45969</v>
      </c>
      <c r="B81" s="32">
        <f>'Energy Data &amp; SFC Calc (2)'!K72</f>
        <v>56.11</v>
      </c>
      <c r="C81" s="33">
        <f>'Energy Data &amp; SFC Calc (2)'!H72</f>
        <v>89680091.349999994</v>
      </c>
      <c r="D81" s="33">
        <f>'Energy Data &amp; SFC Calc (2)'!J72</f>
        <v>1598.2907030832293</v>
      </c>
      <c r="E81" s="34">
        <f t="shared" si="3"/>
        <v>-2.2318889769555317E-2</v>
      </c>
      <c r="F81" s="34">
        <f t="shared" si="4"/>
        <v>-6.719558553420657E-3</v>
      </c>
      <c r="G81" s="34">
        <f t="shared" si="5"/>
        <v>1.3946736229928813E-2</v>
      </c>
    </row>
    <row r="82" spans="1:7">
      <c r="A82" s="31">
        <f>'Energy Data &amp; SFC Calc (2)'!C73</f>
        <v>45970</v>
      </c>
      <c r="B82" s="32">
        <f>'Energy Data &amp; SFC Calc (2)'!K73</f>
        <v>56.716999999999999</v>
      </c>
      <c r="C82" s="33">
        <f>'Energy Data &amp; SFC Calc (2)'!H73</f>
        <v>89738479.004000008</v>
      </c>
      <c r="D82" s="33">
        <f>'Energy Data &amp; SFC Calc (2)'!J73</f>
        <v>1582.2148386550771</v>
      </c>
      <c r="E82" s="34">
        <f t="shared" si="3"/>
        <v>-1.1742300321865518E-2</v>
      </c>
      <c r="F82" s="34">
        <f t="shared" si="4"/>
        <v>-6.0728674777635883E-3</v>
      </c>
      <c r="G82" s="34">
        <f t="shared" si="5"/>
        <v>3.7482972115725488E-3</v>
      </c>
    </row>
    <row r="83" spans="1:7">
      <c r="A83" s="31">
        <f>'Energy Data &amp; SFC Calc (2)'!C74</f>
        <v>45971</v>
      </c>
      <c r="B83" s="32">
        <f>'Energy Data &amp; SFC Calc (2)'!K74</f>
        <v>59.97</v>
      </c>
      <c r="C83" s="33">
        <f>'Energy Data &amp; SFC Calc (2)'!H74</f>
        <v>91787814.412</v>
      </c>
      <c r="D83" s="33">
        <f>'Energy Data &amp; SFC Calc (2)'!J74</f>
        <v>1530.562187960647</v>
      </c>
      <c r="E83" s="34">
        <f t="shared" si="3"/>
        <v>4.4939158448044303E-2</v>
      </c>
      <c r="F83" s="34">
        <f t="shared" si="4"/>
        <v>1.6625200154505082E-2</v>
      </c>
      <c r="G83" s="34">
        <f t="shared" si="5"/>
        <v>-2.9019857222542744E-2</v>
      </c>
    </row>
    <row r="84" spans="1:7">
      <c r="A84" s="31">
        <f>'Energy Data &amp; SFC Calc (2)'!C75</f>
        <v>45972</v>
      </c>
      <c r="B84" s="32">
        <f>'Energy Data &amp; SFC Calc (2)'!K75</f>
        <v>60.436999999999998</v>
      </c>
      <c r="C84" s="33">
        <f>'Energy Data &amp; SFC Calc (2)'!H75</f>
        <v>92139105.689999998</v>
      </c>
      <c r="D84" s="33">
        <f>'Energy Data &amp; SFC Calc (2)'!J75</f>
        <v>1524.5479704485663</v>
      </c>
      <c r="E84" s="34">
        <f t="shared" si="3"/>
        <v>5.3076336820484515E-2</v>
      </c>
      <c r="F84" s="34">
        <f t="shared" si="4"/>
        <v>2.0516038694425642E-2</v>
      </c>
      <c r="G84" s="34">
        <f t="shared" si="5"/>
        <v>-3.2835243375754608E-2</v>
      </c>
    </row>
    <row r="85" spans="1:7">
      <c r="A85" s="31">
        <f>'Energy Data &amp; SFC Calc (2)'!C76</f>
        <v>45973</v>
      </c>
      <c r="B85" s="32">
        <f>'Energy Data &amp; SFC Calc (2)'!K76</f>
        <v>60.744</v>
      </c>
      <c r="C85" s="33">
        <f>'Energy Data &amp; SFC Calc (2)'!H76</f>
        <v>92007120.645999998</v>
      </c>
      <c r="D85" s="33">
        <f>'Energy Data &amp; SFC Calc (2)'!J76</f>
        <v>1514.6701015079677</v>
      </c>
      <c r="E85" s="34">
        <f t="shared" si="3"/>
        <v>5.8425616821210724E-2</v>
      </c>
      <c r="F85" s="34">
        <f t="shared" si="4"/>
        <v>1.9054196263232903E-2</v>
      </c>
      <c r="G85" s="34">
        <f t="shared" si="5"/>
        <v>-3.9101708514984845E-2</v>
      </c>
    </row>
    <row r="86" spans="1:7">
      <c r="A86" s="31">
        <f>'Energy Data &amp; SFC Calc (2)'!C77</f>
        <v>45974</v>
      </c>
      <c r="B86" s="32">
        <f>'Energy Data &amp; SFC Calc (2)'!K77</f>
        <v>60.390999999999998</v>
      </c>
      <c r="C86" s="33">
        <f>'Energy Data &amp; SFC Calc (2)'!H77</f>
        <v>92719893.192000002</v>
      </c>
      <c r="D86" s="33">
        <f>'Energy Data &amp; SFC Calc (2)'!J77</f>
        <v>1535.3263431968339</v>
      </c>
      <c r="E86" s="34">
        <f t="shared" si="3"/>
        <v>5.2274816038616612E-2</v>
      </c>
      <c r="F86" s="34">
        <f t="shared" si="4"/>
        <v>2.6948735825852221E-2</v>
      </c>
      <c r="G86" s="34">
        <f t="shared" si="5"/>
        <v>-2.5997503627351315E-2</v>
      </c>
    </row>
    <row r="87" spans="1:7">
      <c r="A87" s="31">
        <f>'Energy Data &amp; SFC Calc (2)'!C78</f>
        <v>45975</v>
      </c>
      <c r="B87" s="32">
        <f>'Energy Data &amp; SFC Calc (2)'!K78</f>
        <v>59.878999999999998</v>
      </c>
      <c r="C87" s="33">
        <f>'Energy Data &amp; SFC Calc (2)'!H78</f>
        <v>92339359.704000011</v>
      </c>
      <c r="D87" s="33">
        <f>'Energy Data &amp; SFC Calc (2)'!J78</f>
        <v>1542.0992285108305</v>
      </c>
      <c r="E87" s="34">
        <f t="shared" si="3"/>
        <v>4.3353541249131933E-2</v>
      </c>
      <c r="F87" s="34">
        <f t="shared" si="4"/>
        <v>2.2734015866762602E-2</v>
      </c>
      <c r="G87" s="34">
        <f t="shared" si="5"/>
        <v>-2.1700822838469302E-2</v>
      </c>
    </row>
    <row r="88" spans="1:7">
      <c r="A88" s="31">
        <f>'Energy Data &amp; SFC Calc (2)'!C79</f>
        <v>45976</v>
      </c>
      <c r="B88" s="32">
        <f>'Energy Data &amp; SFC Calc (2)'!K79</f>
        <v>59.829000000000001</v>
      </c>
      <c r="C88" s="33">
        <f>'Energy Data &amp; SFC Calc (2)'!H79</f>
        <v>92787155.700000003</v>
      </c>
      <c r="D88" s="33">
        <f>'Energy Data &amp; SFC Calc (2)'!J79</f>
        <v>1550.8725818582961</v>
      </c>
      <c r="E88" s="34">
        <f t="shared" si="3"/>
        <v>4.248232300797139E-2</v>
      </c>
      <c r="F88" s="34">
        <f t="shared" si="4"/>
        <v>2.7693723176258622E-2</v>
      </c>
      <c r="G88" s="34">
        <f t="shared" si="5"/>
        <v>-1.6135056250892843E-2</v>
      </c>
    </row>
    <row r="89" spans="1:7">
      <c r="A89" s="31">
        <f>'Energy Data &amp; SFC Calc (2)'!C80</f>
        <v>45977</v>
      </c>
      <c r="B89" s="32">
        <f>'Energy Data &amp; SFC Calc (2)'!K80</f>
        <v>60.634999999999998</v>
      </c>
      <c r="C89" s="33">
        <f>'Energy Data &amp; SFC Calc (2)'!H80</f>
        <v>93194708.745000005</v>
      </c>
      <c r="D89" s="33">
        <f>'Energy Data &amp; SFC Calc (2)'!J80</f>
        <v>1536.978786921745</v>
      </c>
      <c r="E89" s="34">
        <f t="shared" si="3"/>
        <v>5.6526361055480479E-2</v>
      </c>
      <c r="F89" s="34">
        <f t="shared" si="4"/>
        <v>3.2207706852642515E-2</v>
      </c>
      <c r="G89" s="34">
        <f t="shared" si="5"/>
        <v>-2.4949202515141211E-2</v>
      </c>
    </row>
    <row r="90" spans="1:7">
      <c r="A90" s="31">
        <f>'Energy Data &amp; SFC Calc (2)'!C81</f>
        <v>45978</v>
      </c>
      <c r="B90" s="32">
        <f>'Energy Data &amp; SFC Calc (2)'!K81</f>
        <v>61.125999999999998</v>
      </c>
      <c r="C90" s="33">
        <f>'Energy Data &amp; SFC Calc (2)'!H81</f>
        <v>94014087.605000004</v>
      </c>
      <c r="D90" s="33">
        <f>'Energy Data &amp; SFC Calc (2)'!J81</f>
        <v>1538.0376207342213</v>
      </c>
      <c r="E90" s="34">
        <f t="shared" si="3"/>
        <v>6.5081724183677636E-2</v>
      </c>
      <c r="F90" s="34">
        <f t="shared" si="4"/>
        <v>4.1282998631688939E-2</v>
      </c>
      <c r="G90" s="34">
        <f t="shared" si="5"/>
        <v>-2.4277484231165047E-2</v>
      </c>
    </row>
    <row r="91" spans="1:7">
      <c r="A91" s="31">
        <f>'Energy Data &amp; SFC Calc (2)'!C82</f>
        <v>45979</v>
      </c>
      <c r="B91" s="32">
        <f>'Energy Data &amp; SFC Calc (2)'!K82</f>
        <v>61.237000000000002</v>
      </c>
      <c r="C91" s="33">
        <f>'Energy Data &amp; SFC Calc (2)'!H82</f>
        <v>94056683.167999998</v>
      </c>
      <c r="D91" s="33">
        <f>'Energy Data &amp; SFC Calc (2)'!J82</f>
        <v>1535.9453135849242</v>
      </c>
      <c r="E91" s="34">
        <f t="shared" si="3"/>
        <v>6.7015828679054312E-2</v>
      </c>
      <c r="F91" s="34">
        <f t="shared" si="4"/>
        <v>4.1754779369012063E-2</v>
      </c>
      <c r="G91" s="34">
        <f t="shared" si="5"/>
        <v>-2.5604832254354948E-2</v>
      </c>
    </row>
    <row r="92" spans="1:7">
      <c r="A92" s="31">
        <f>'Energy Data &amp; SFC Calc (2)'!C83</f>
        <v>45980</v>
      </c>
      <c r="B92" s="32">
        <f>'Energy Data &amp; SFC Calc (2)'!K83</f>
        <v>60.594000000000001</v>
      </c>
      <c r="C92" s="33">
        <f>'Energy Data &amp; SFC Calc (2)'!H83</f>
        <v>93239000.796999991</v>
      </c>
      <c r="D92" s="33">
        <f>'Energy Data &amp; SFC Calc (2)'!J83</f>
        <v>1538.7497243456446</v>
      </c>
      <c r="E92" s="34">
        <f t="shared" si="3"/>
        <v>5.5811962097728873E-2</v>
      </c>
      <c r="F92" s="34">
        <f t="shared" si="4"/>
        <v>3.2698277594719549E-2</v>
      </c>
      <c r="G92" s="34">
        <f t="shared" si="5"/>
        <v>-2.3825729659066597E-2</v>
      </c>
    </row>
    <row r="93" spans="1:7">
      <c r="A93" s="31">
        <f>'Energy Data &amp; SFC Calc (2)'!C84</f>
        <v>45981</v>
      </c>
      <c r="B93" s="32">
        <f>'Energy Data &amp; SFC Calc (2)'!K84</f>
        <v>59.704000000000001</v>
      </c>
      <c r="C93" s="33">
        <f>'Energy Data &amp; SFC Calc (2)'!H84</f>
        <v>91628560.451999992</v>
      </c>
      <c r="D93" s="33">
        <f>'Energy Data &amp; SFC Calc (2)'!J84</f>
        <v>1534.7139295859572</v>
      </c>
      <c r="E93" s="34">
        <f t="shared" si="3"/>
        <v>4.0304277405069922E-2</v>
      </c>
      <c r="F93" s="34">
        <f t="shared" si="4"/>
        <v>1.4861332150919226E-2</v>
      </c>
      <c r="G93" s="34">
        <f t="shared" si="5"/>
        <v>-2.6386015417336317E-2</v>
      </c>
    </row>
    <row r="94" spans="1:7">
      <c r="A94" s="31">
        <f>'Energy Data &amp; SFC Calc (2)'!C85</f>
        <v>45982</v>
      </c>
      <c r="B94" s="32">
        <f>'Energy Data &amp; SFC Calc (2)'!K85</f>
        <v>58.344000000000001</v>
      </c>
      <c r="C94" s="33">
        <f>'Energy Data &amp; SFC Calc (2)'!H85</f>
        <v>91532262.399999991</v>
      </c>
      <c r="D94" s="33">
        <f>'Energy Data &amp; SFC Calc (2)'!J85</f>
        <v>1568.8376251199779</v>
      </c>
      <c r="E94" s="34">
        <f t="shared" si="3"/>
        <v>1.6607141245501111E-2</v>
      </c>
      <c r="F94" s="34">
        <f t="shared" si="4"/>
        <v>1.3794752376510955E-2</v>
      </c>
      <c r="G94" s="34">
        <f t="shared" si="5"/>
        <v>-4.7381326835641557E-3</v>
      </c>
    </row>
    <row r="95" spans="1:7">
      <c r="A95" s="31">
        <f>'Energy Data &amp; SFC Calc (2)'!C86</f>
        <v>45983</v>
      </c>
      <c r="B95" s="32">
        <f>'Energy Data &amp; SFC Calc (2)'!K86</f>
        <v>55.234000000000002</v>
      </c>
      <c r="C95" s="33">
        <f>'Energy Data &amp; SFC Calc (2)'!H86</f>
        <v>88484666.625</v>
      </c>
      <c r="D95" s="33">
        <f>'Energy Data &amp; SFC Calc (2)'!J86</f>
        <v>1601.9963541478076</v>
      </c>
      <c r="E95" s="34">
        <f t="shared" si="3"/>
        <v>-3.7582633354689365E-2</v>
      </c>
      <c r="F95" s="34">
        <f t="shared" si="4"/>
        <v>-1.9959866192381992E-2</v>
      </c>
      <c r="G95" s="34">
        <f t="shared" si="5"/>
        <v>1.6297580663477529E-2</v>
      </c>
    </row>
    <row r="96" spans="1:7">
      <c r="A96" s="31">
        <f>'Energy Data &amp; SFC Calc (2)'!C87</f>
        <v>45984</v>
      </c>
      <c r="B96" s="32">
        <f>'Energy Data &amp; SFC Calc (2)'!K87</f>
        <v>56.366</v>
      </c>
      <c r="C96" s="33">
        <f>'Energy Data &amp; SFC Calc (2)'!H87</f>
        <v>87580497.443999991</v>
      </c>
      <c r="D96" s="33">
        <f>'Energy Data &amp; SFC Calc (2)'!J87</f>
        <v>1553.7823766809777</v>
      </c>
      <c r="E96" s="34">
        <f t="shared" si="3"/>
        <v>-1.7858252374812977E-2</v>
      </c>
      <c r="F96" s="34">
        <f t="shared" si="4"/>
        <v>-2.9974280202522019E-2</v>
      </c>
      <c r="G96" s="34">
        <f t="shared" si="5"/>
        <v>-1.4289098592586313E-2</v>
      </c>
    </row>
    <row r="97" spans="1:7">
      <c r="A97" s="31">
        <f>'Energy Data &amp; SFC Calc (2)'!C88</f>
        <v>45985</v>
      </c>
      <c r="B97" s="32">
        <f>'Energy Data &amp; SFC Calc (2)'!K88</f>
        <v>54.231000000000002</v>
      </c>
      <c r="C97" s="33">
        <f>'Energy Data &amp; SFC Calc (2)'!H88</f>
        <v>87639781.745000005</v>
      </c>
      <c r="D97" s="33">
        <f>'Energy Data &amp; SFC Calc (2)'!J88</f>
        <v>1616.0458362375764</v>
      </c>
      <c r="E97" s="34">
        <f t="shared" si="3"/>
        <v>-5.5059271272371313E-2</v>
      </c>
      <c r="F97" s="34">
        <f t="shared" si="4"/>
        <v>-2.9317658027168458E-2</v>
      </c>
      <c r="G97" s="34">
        <f t="shared" si="5"/>
        <v>2.5210493992173788E-2</v>
      </c>
    </row>
    <row r="98" spans="1:7">
      <c r="A98" s="31">
        <f>'Energy Data &amp; SFC Calc (2)'!C89</f>
        <v>45986</v>
      </c>
      <c r="B98" s="32">
        <f>'Energy Data &amp; SFC Calc (2)'!K89</f>
        <v>52.637</v>
      </c>
      <c r="C98" s="33">
        <f>'Energy Data &amp; SFC Calc (2)'!H89</f>
        <v>85897467.746999994</v>
      </c>
      <c r="D98" s="33">
        <f>'Energy Data &amp; SFC Calc (2)'!J89</f>
        <v>1631.8838031612743</v>
      </c>
      <c r="E98" s="34">
        <f t="shared" si="3"/>
        <v>-8.2833708800571837E-2</v>
      </c>
      <c r="F98" s="34">
        <f t="shared" si="4"/>
        <v>-4.8615212155630028E-2</v>
      </c>
      <c r="G98" s="34">
        <f t="shared" si="5"/>
        <v>3.5258012156311525E-2</v>
      </c>
    </row>
    <row r="99" spans="1:7">
      <c r="A99" s="31">
        <f>'Energy Data &amp; SFC Calc (2)'!C90</f>
        <v>45987</v>
      </c>
      <c r="B99" s="32">
        <f>'Energy Data &amp; SFC Calc (2)'!K90</f>
        <v>59.576000000000001</v>
      </c>
      <c r="C99" s="33">
        <f>'Energy Data &amp; SFC Calc (2)'!H90</f>
        <v>90995065.825000003</v>
      </c>
      <c r="D99" s="33">
        <f>'Energy Data &amp; SFC Calc (2)'!J90</f>
        <v>1527.3779009164764</v>
      </c>
      <c r="E99" s="34">
        <f t="shared" si="3"/>
        <v>3.8073958707698585E-2</v>
      </c>
      <c r="F99" s="34">
        <f t="shared" si="4"/>
        <v>7.8448604537082467E-3</v>
      </c>
      <c r="G99" s="34">
        <f t="shared" si="5"/>
        <v>-3.1039951220103723E-2</v>
      </c>
    </row>
    <row r="100" spans="1:7">
      <c r="A100" s="31">
        <f>'Energy Data &amp; SFC Calc (2)'!C91</f>
        <v>45988</v>
      </c>
      <c r="B100" s="32">
        <f>'Energy Data &amp; SFC Calc (2)'!K91</f>
        <v>57.970999999999997</v>
      </c>
      <c r="C100" s="33">
        <f>'Energy Data &amp; SFC Calc (2)'!H91</f>
        <v>89022638.88000001</v>
      </c>
      <c r="D100" s="33">
        <f>'Energy Data &amp; SFC Calc (2)'!J91</f>
        <v>1535.6409045902262</v>
      </c>
      <c r="E100" s="34">
        <f t="shared" si="3"/>
        <v>1.0107853166442693E-2</v>
      </c>
      <c r="F100" s="34">
        <f t="shared" si="4"/>
        <v>-1.4001382978454879E-2</v>
      </c>
      <c r="G100" s="34">
        <f t="shared" si="5"/>
        <v>-2.5797947628208751E-2</v>
      </c>
    </row>
    <row r="101" spans="1:7">
      <c r="A101" s="31">
        <f>'Energy Data &amp; SFC Calc (2)'!C92</f>
        <v>45989</v>
      </c>
      <c r="B101" s="32">
        <f>'Energy Data &amp; SFC Calc (2)'!K92</f>
        <v>58.826000000000001</v>
      </c>
      <c r="C101" s="33">
        <f>'Energy Data &amp; SFC Calc (2)'!H92</f>
        <v>89612449.450000003</v>
      </c>
      <c r="D101" s="33">
        <f>'Energy Data &amp; SFC Calc (2)'!J92</f>
        <v>1523.3476600482779</v>
      </c>
      <c r="E101" s="34">
        <f t="shared" si="3"/>
        <v>2.5005685090289331E-2</v>
      </c>
      <c r="F101" s="34">
        <f t="shared" si="4"/>
        <v>-7.468747980871937E-3</v>
      </c>
      <c r="G101" s="34">
        <f t="shared" si="5"/>
        <v>-3.3596713620490104E-2</v>
      </c>
    </row>
    <row r="102" spans="1:7">
      <c r="A102" s="31">
        <f>'Energy Data &amp; SFC Calc (2)'!C93</f>
        <v>45990</v>
      </c>
      <c r="B102" s="32">
        <f>'Energy Data &amp; SFC Calc (2)'!K93</f>
        <v>55.465000000000003</v>
      </c>
      <c r="C102" s="33">
        <f>'Energy Data &amp; SFC Calc (2)'!H93</f>
        <v>89369849.211999997</v>
      </c>
      <c r="D102" s="33">
        <f>'Energy Data &amp; SFC Calc (2)'!J93</f>
        <v>1611.2836782114846</v>
      </c>
      <c r="E102" s="34">
        <f t="shared" si="3"/>
        <v>-3.3557605080527297E-2</v>
      </c>
      <c r="F102" s="34">
        <f t="shared" si="4"/>
        <v>-1.0155744256948873E-2</v>
      </c>
      <c r="G102" s="34">
        <f t="shared" si="5"/>
        <v>2.2189407415963203E-2</v>
      </c>
    </row>
    <row r="103" spans="1:7">
      <c r="A103" s="31">
        <f>'Energy Data &amp; SFC Calc (2)'!C94</f>
        <v>45991</v>
      </c>
      <c r="B103" s="32">
        <f>'Energy Data &amp; SFC Calc (2)'!K94</f>
        <v>54.890999999999998</v>
      </c>
      <c r="C103" s="33">
        <f>'Energy Data &amp; SFC Calc (2)'!H94</f>
        <v>88110055.567000002</v>
      </c>
      <c r="D103" s="33">
        <f>'Energy Data &amp; SFC Calc (2)'!J94</f>
        <v>1605.1821895574867</v>
      </c>
      <c r="E103" s="34">
        <f t="shared" si="3"/>
        <v>-4.3559190489051214E-2</v>
      </c>
      <c r="F103" s="34">
        <f t="shared" si="4"/>
        <v>-2.4108990389956841E-2</v>
      </c>
      <c r="G103" s="34">
        <f t="shared" si="5"/>
        <v>1.8318656935508937E-2</v>
      </c>
    </row>
    <row r="104" spans="1:7">
      <c r="A104" s="31">
        <f>'Energy Data &amp; SFC Calc (2)'!C95</f>
        <v>45992</v>
      </c>
      <c r="B104" s="32">
        <f>'Energy Data &amp; SFC Calc (2)'!K95</f>
        <v>57.253999999999998</v>
      </c>
      <c r="C104" s="33">
        <f>'Energy Data &amp; SFC Calc (2)'!H95</f>
        <v>90539743.008000001</v>
      </c>
      <c r="D104" s="33">
        <f>'Energy Data &amp; SFC Calc (2)'!J95</f>
        <v>1581.3697384986201</v>
      </c>
      <c r="E104" s="34">
        <f t="shared" si="3"/>
        <v>-2.3854164118004562E-3</v>
      </c>
      <c r="F104" s="34">
        <f t="shared" si="4"/>
        <v>2.8017874387020747E-3</v>
      </c>
      <c r="G104" s="34">
        <f t="shared" si="5"/>
        <v>3.2121703707082006E-3</v>
      </c>
    </row>
    <row r="105" spans="1:7">
      <c r="A105" s="31">
        <f>'Energy Data &amp; SFC Calc (2)'!C96</f>
        <v>45993</v>
      </c>
      <c r="B105" s="32">
        <f>'Energy Data &amp; SFC Calc (2)'!K96</f>
        <v>59.454000000000001</v>
      </c>
      <c r="C105" s="33">
        <f>'Energy Data &amp; SFC Calc (2)'!H96</f>
        <v>91498684.925999999</v>
      </c>
      <c r="D105" s="33">
        <f>'Energy Data &amp; SFC Calc (2)'!J96</f>
        <v>1538.9828258149157</v>
      </c>
      <c r="E105" s="34">
        <f t="shared" si="3"/>
        <v>3.5948186199266763E-2</v>
      </c>
      <c r="F105" s="34">
        <f t="shared" si="4"/>
        <v>1.3422854358842606E-2</v>
      </c>
      <c r="G105" s="34">
        <f t="shared" si="5"/>
        <v>-2.3677851382904569E-2</v>
      </c>
    </row>
    <row r="106" spans="1:7">
      <c r="A106" s="31">
        <f>'Energy Data &amp; SFC Calc (2)'!C97</f>
        <v>45994</v>
      </c>
      <c r="B106" s="32">
        <f>'Energy Data &amp; SFC Calc (2)'!K97</f>
        <v>58.72</v>
      </c>
      <c r="C106" s="33">
        <f>'Energy Data &amp; SFC Calc (2)'!H97</f>
        <v>91592301.042000011</v>
      </c>
      <c r="D106" s="33">
        <f>'Energy Data &amp; SFC Calc (2)'!J97</f>
        <v>1559.8143910422345</v>
      </c>
      <c r="E106" s="34">
        <f t="shared" si="3"/>
        <v>2.3158702419028954E-2</v>
      </c>
      <c r="F106" s="34">
        <f t="shared" si="4"/>
        <v>1.4459729496091311E-2</v>
      </c>
      <c r="G106" s="34">
        <f t="shared" si="5"/>
        <v>-1.046242221719984E-2</v>
      </c>
    </row>
    <row r="107" spans="1:7">
      <c r="A107" s="31">
        <f>'Energy Data &amp; SFC Calc (2)'!C98</f>
        <v>45995</v>
      </c>
      <c r="B107" s="32">
        <f>'Energy Data &amp; SFC Calc (2)'!K98</f>
        <v>55.57</v>
      </c>
      <c r="C107" s="33">
        <f>'Energy Data &amp; SFC Calc (2)'!H98</f>
        <v>90459458.034999996</v>
      </c>
      <c r="D107" s="33">
        <f>'Energy Data &amp; SFC Calc (2)'!J98</f>
        <v>1627.8470044088535</v>
      </c>
      <c r="E107" s="34">
        <f t="shared" si="3"/>
        <v>-3.1728046774090024E-2</v>
      </c>
      <c r="F107" s="34">
        <f t="shared" si="4"/>
        <v>1.9125656256717694E-3</v>
      </c>
      <c r="G107" s="34">
        <f t="shared" si="5"/>
        <v>3.2697089470633545E-2</v>
      </c>
    </row>
    <row r="108" spans="1:7">
      <c r="A108" s="31">
        <f>'Energy Data &amp; SFC Calc (2)'!C99</f>
        <v>45996</v>
      </c>
      <c r="B108" s="32">
        <f>'Energy Data &amp; SFC Calc (2)'!K99</f>
        <v>58.536999999999999</v>
      </c>
      <c r="C108" s="33">
        <f>'Energy Data &amp; SFC Calc (2)'!H99</f>
        <v>89954876.504000008</v>
      </c>
      <c r="D108" s="33">
        <f>'Energy Data &amp; SFC Calc (2)'!J99</f>
        <v>1536.718255189026</v>
      </c>
      <c r="E108" s="34">
        <f t="shared" si="3"/>
        <v>1.9970043656380998E-2</v>
      </c>
      <c r="F108" s="34">
        <f t="shared" si="4"/>
        <v>-3.6760879797469448E-3</v>
      </c>
      <c r="G108" s="34">
        <f t="shared" si="5"/>
        <v>-2.5114482397934235E-2</v>
      </c>
    </row>
    <row r="109" spans="1:7">
      <c r="A109" s="31">
        <f>'Energy Data &amp; SFC Calc (2)'!C100</f>
        <v>45997</v>
      </c>
      <c r="B109" s="32">
        <f>'Energy Data &amp; SFC Calc (2)'!K100</f>
        <v>61.911999999999999</v>
      </c>
      <c r="C109" s="33">
        <f>'Energy Data &amp; SFC Calc (2)'!H100</f>
        <v>93187600.735999987</v>
      </c>
      <c r="D109" s="33">
        <f>'Energy Data &amp; SFC Calc (2)'!J100</f>
        <v>1505.162177542318</v>
      </c>
      <c r="E109" s="34">
        <f t="shared" si="3"/>
        <v>7.8777274934722641E-2</v>
      </c>
      <c r="F109" s="34">
        <f t="shared" si="4"/>
        <v>3.2128979832954263E-2</v>
      </c>
      <c r="G109" s="34">
        <f t="shared" si="5"/>
        <v>-4.5133482618841869E-2</v>
      </c>
    </row>
    <row r="110" spans="1:7">
      <c r="A110" s="31">
        <f>'Energy Data &amp; SFC Calc (2)'!C101</f>
        <v>45998</v>
      </c>
      <c r="B110" s="32">
        <f>'Energy Data &amp; SFC Calc (2)'!K101</f>
        <v>60.057000000000002</v>
      </c>
      <c r="C110" s="33">
        <f>'Energy Data &amp; SFC Calc (2)'!H101</f>
        <v>91116004.480000004</v>
      </c>
      <c r="D110" s="33">
        <f>'Energy Data &amp; SFC Calc (2)'!J101</f>
        <v>1517.1587738315268</v>
      </c>
      <c r="E110" s="34">
        <f t="shared" si="3"/>
        <v>4.6455078187663812E-2</v>
      </c>
      <c r="F110" s="34">
        <f t="shared" si="4"/>
        <v>9.1843550819812325E-3</v>
      </c>
      <c r="G110" s="34">
        <f t="shared" si="5"/>
        <v>-3.7522908628862317E-2</v>
      </c>
    </row>
    <row r="111" spans="1:7">
      <c r="A111" s="31">
        <f>'Energy Data &amp; SFC Calc (2)'!C102</f>
        <v>45999</v>
      </c>
      <c r="B111" s="32">
        <f>'Energy Data &amp; SFC Calc (2)'!K102</f>
        <v>55.441000000000003</v>
      </c>
      <c r="C111" s="33">
        <f>'Energy Data &amp; SFC Calc (2)'!H102</f>
        <v>88782649.88000001</v>
      </c>
      <c r="D111" s="33">
        <f>'Energy Data &amp; SFC Calc (2)'!J102</f>
        <v>1601.389763532404</v>
      </c>
      <c r="E111" s="34">
        <f t="shared" si="3"/>
        <v>-3.3975789836284354E-2</v>
      </c>
      <c r="F111" s="34">
        <f t="shared" si="4"/>
        <v>-1.6659457655609278E-2</v>
      </c>
      <c r="G111" s="34">
        <f t="shared" si="5"/>
        <v>1.5912762949447323E-2</v>
      </c>
    </row>
    <row r="112" spans="1:7">
      <c r="A112" s="31">
        <f>'Energy Data &amp; SFC Calc (2)'!C103</f>
        <v>46000</v>
      </c>
      <c r="B112" s="32">
        <f>'Energy Data &amp; SFC Calc (2)'!K103</f>
        <v>52.322000000000003</v>
      </c>
      <c r="C112" s="33">
        <f>'Energy Data &amp; SFC Calc (2)'!H103</f>
        <v>87240070.187000006</v>
      </c>
      <c r="D112" s="33">
        <f>'Energy Data &amp; SFC Calc (2)'!J103</f>
        <v>1667.3687968158711</v>
      </c>
      <c r="E112" s="34">
        <f t="shared" si="3"/>
        <v>-8.8322383719883657E-2</v>
      </c>
      <c r="F112" s="34">
        <f t="shared" si="4"/>
        <v>-3.3744790814445036E-2</v>
      </c>
      <c r="G112" s="34">
        <f t="shared" si="5"/>
        <v>5.776949484954752E-2</v>
      </c>
    </row>
    <row r="113" spans="1:7">
      <c r="A113" s="31">
        <f>'Energy Data &amp; SFC Calc (2)'!C104</f>
        <v>46001</v>
      </c>
      <c r="B113" s="32">
        <f>'Energy Data &amp; SFC Calc (2)'!K104</f>
        <v>52.424999999999997</v>
      </c>
      <c r="C113" s="33">
        <f>'Energy Data &amp; SFC Calc (2)'!H104</f>
        <v>86655005.917000011</v>
      </c>
      <c r="D113" s="33">
        <f>'Energy Data &amp; SFC Calc (2)'!J104</f>
        <v>1652.9328739532668</v>
      </c>
      <c r="E113" s="34">
        <f t="shared" si="3"/>
        <v>-8.6527674143092925E-2</v>
      </c>
      <c r="F113" s="34">
        <f t="shared" si="4"/>
        <v>-4.0224856653274133E-2</v>
      </c>
      <c r="G113" s="34">
        <f t="shared" si="5"/>
        <v>4.8611425643008133E-2</v>
      </c>
    </row>
    <row r="114" spans="1:7">
      <c r="A114" s="31">
        <f>'Energy Data &amp; SFC Calc (2)'!C105</f>
        <v>46002</v>
      </c>
      <c r="B114" s="32">
        <f>'Energy Data &amp; SFC Calc (2)'!K105</f>
        <v>57.136000000000003</v>
      </c>
      <c r="C114" s="33">
        <f>'Energy Data &amp; SFC Calc (2)'!H105</f>
        <v>89236109.349999994</v>
      </c>
      <c r="D114" s="33">
        <f>'Energy Data &amp; SFC Calc (2)'!J105</f>
        <v>1561.8193319448333</v>
      </c>
      <c r="E114" s="34">
        <f t="shared" si="3"/>
        <v>-4.4414914609394174E-3</v>
      </c>
      <c r="F114" s="34">
        <f t="shared" si="4"/>
        <v>-1.1637022734330427E-2</v>
      </c>
      <c r="G114" s="34">
        <f t="shared" si="5"/>
        <v>-9.1904988551967381E-3</v>
      </c>
    </row>
    <row r="115" spans="1:7">
      <c r="A115" s="31">
        <f>'Energy Data &amp; SFC Calc (2)'!C106</f>
        <v>46003</v>
      </c>
      <c r="B115" s="32">
        <f>'Energy Data &amp; SFC Calc (2)'!K106</f>
        <v>56.271000000000001</v>
      </c>
      <c r="C115" s="33">
        <f>'Energy Data &amp; SFC Calc (2)'!H106</f>
        <v>88765973.200000003</v>
      </c>
      <c r="D115" s="33">
        <f>'Energy Data &amp; SFC Calc (2)'!J106</f>
        <v>1577.4728225906774</v>
      </c>
      <c r="E115" s="34">
        <f t="shared" si="3"/>
        <v>-1.9513567033018209E-2</v>
      </c>
      <c r="F115" s="34">
        <f t="shared" si="4"/>
        <v>-1.6844165541416656E-2</v>
      </c>
      <c r="G115" s="34">
        <f t="shared" si="5"/>
        <v>7.399885838788034E-4</v>
      </c>
    </row>
    <row r="116" spans="1:7">
      <c r="A116" s="31">
        <f>'Energy Data &amp; SFC Calc (2)'!C107</f>
        <v>46004</v>
      </c>
      <c r="B116" s="32">
        <f>'Energy Data &amp; SFC Calc (2)'!K107</f>
        <v>56.243000000000002</v>
      </c>
      <c r="C116" s="33">
        <f>'Energy Data &amp; SFC Calc (2)'!H107</f>
        <v>90017318.644999996</v>
      </c>
      <c r="D116" s="33">
        <f>'Energy Data &amp; SFC Calc (2)'!J107</f>
        <v>1600.5070612342868</v>
      </c>
      <c r="E116" s="34">
        <f t="shared" si="3"/>
        <v>-2.0001449248068126E-2</v>
      </c>
      <c r="F116" s="34">
        <f t="shared" si="4"/>
        <v>-2.9844901407652946E-3</v>
      </c>
      <c r="G116" s="34">
        <f t="shared" si="5"/>
        <v>1.5352781518965353E-2</v>
      </c>
    </row>
    <row r="117" spans="1:7">
      <c r="A117" s="31">
        <f>'Energy Data &amp; SFC Calc (2)'!C108</f>
        <v>46005</v>
      </c>
      <c r="B117" s="32">
        <f>'Energy Data &amp; SFC Calc (2)'!K108</f>
        <v>56.429000000000002</v>
      </c>
      <c r="C117" s="33">
        <f>'Energy Data &amp; SFC Calc (2)'!H108</f>
        <v>89105119.960000008</v>
      </c>
      <c r="D117" s="33">
        <f>'Energy Data &amp; SFC Calc (2)'!J108</f>
        <v>1579.066082333552</v>
      </c>
      <c r="E117" s="34">
        <f t="shared" si="3"/>
        <v>-1.6760517390950636E-2</v>
      </c>
      <c r="F117" s="34">
        <f t="shared" si="4"/>
        <v>-1.3087837482234965E-2</v>
      </c>
      <c r="G117" s="34">
        <f t="shared" si="5"/>
        <v>1.7507437069224085E-3</v>
      </c>
    </row>
    <row r="118" spans="1:7">
      <c r="A118" s="31">
        <f>'Energy Data &amp; SFC Calc (2)'!C109</f>
        <v>46006</v>
      </c>
      <c r="B118" s="32">
        <f>'Energy Data &amp; SFC Calc (2)'!K109</f>
        <v>58.496000000000002</v>
      </c>
      <c r="C118" s="33">
        <f>'Energy Data &amp; SFC Calc (2)'!H109</f>
        <v>90762122.800999999</v>
      </c>
      <c r="D118" s="33">
        <f>'Energy Data &amp; SFC Calc (2)'!J109</f>
        <v>1551.5953706407277</v>
      </c>
      <c r="E118" s="34">
        <f t="shared" si="3"/>
        <v>1.9255644698629393E-2</v>
      </c>
      <c r="F118" s="34">
        <f t="shared" si="4"/>
        <v>5.2648257299743317E-3</v>
      </c>
      <c r="G118" s="34">
        <f t="shared" si="5"/>
        <v>-1.5676523065711767E-2</v>
      </c>
    </row>
    <row r="119" spans="1:7">
      <c r="A119" s="31">
        <f>'Energy Data &amp; SFC Calc (2)'!C110</f>
        <v>46007</v>
      </c>
      <c r="B119" s="32">
        <f>'Energy Data &amp; SFC Calc (2)'!K110</f>
        <v>60.698999999999998</v>
      </c>
      <c r="C119" s="33">
        <f>'Energy Data &amp; SFC Calc (2)'!H110</f>
        <v>92716034.943999991</v>
      </c>
      <c r="D119" s="33">
        <f>'Energy Data &amp; SFC Calc (2)'!J110</f>
        <v>1527.4721979604276</v>
      </c>
      <c r="E119" s="34">
        <f t="shared" si="3"/>
        <v>5.7641520404166036E-2</v>
      </c>
      <c r="F119" s="34">
        <f t="shared" si="4"/>
        <v>2.6906002570132204E-2</v>
      </c>
      <c r="G119" s="34">
        <f t="shared" si="5"/>
        <v>-3.0980129699671899E-2</v>
      </c>
    </row>
    <row r="120" spans="1:7">
      <c r="A120" s="31">
        <f>'Energy Data &amp; SFC Calc (2)'!C111</f>
        <v>46008</v>
      </c>
      <c r="B120" s="32">
        <f>'Energy Data &amp; SFC Calc (2)'!K111</f>
        <v>60.889000000000003</v>
      </c>
      <c r="C120" s="33">
        <f>'Energy Data &amp; SFC Calc (2)'!H111</f>
        <v>91762329.221999988</v>
      </c>
      <c r="D120" s="33">
        <f>'Energy Data &amp; SFC Calc (2)'!J111</f>
        <v>1507.0428028379508</v>
      </c>
      <c r="E120" s="34">
        <f t="shared" si="3"/>
        <v>6.0952149720576498E-2</v>
      </c>
      <c r="F120" s="34">
        <f t="shared" si="4"/>
        <v>1.6342930808070477E-2</v>
      </c>
      <c r="G120" s="34">
        <f t="shared" si="5"/>
        <v>-4.3940424386756938E-2</v>
      </c>
    </row>
    <row r="121" spans="1:7">
      <c r="A121" s="31">
        <f>'Energy Data &amp; SFC Calc (2)'!C112</f>
        <v>46009</v>
      </c>
      <c r="B121" s="32">
        <f>'Energy Data &amp; SFC Calc (2)'!K112</f>
        <v>59.232999999999997</v>
      </c>
      <c r="C121" s="33">
        <f>'Energy Data &amp; SFC Calc (2)'!H112</f>
        <v>91836697.944000006</v>
      </c>
      <c r="D121" s="33">
        <f>'Energy Data &amp; SFC Calc (2)'!J112</f>
        <v>1550.4313126804316</v>
      </c>
      <c r="E121" s="34">
        <f t="shared" si="3"/>
        <v>3.2097401573336848E-2</v>
      </c>
      <c r="F121" s="34">
        <f t="shared" si="4"/>
        <v>1.7166625297070359E-2</v>
      </c>
      <c r="G121" s="34">
        <f t="shared" si="5"/>
        <v>-1.6414994964064067E-2</v>
      </c>
    </row>
    <row r="122" spans="1:7">
      <c r="A122" s="31">
        <f>'Energy Data &amp; SFC Calc (2)'!C113</f>
        <v>46010</v>
      </c>
      <c r="B122" s="32">
        <f>'Energy Data &amp; SFC Calc (2)'!K113</f>
        <v>60.731999999999999</v>
      </c>
      <c r="C122" s="33">
        <f>'Energy Data &amp; SFC Calc (2)'!H113</f>
        <v>91786999.376000002</v>
      </c>
      <c r="D122" s="33">
        <f>'Energy Data &amp; SFC Calc (2)'!J113</f>
        <v>1511.344914970691</v>
      </c>
      <c r="E122" s="34">
        <f t="shared" si="3"/>
        <v>5.821652444333214E-2</v>
      </c>
      <c r="F122" s="34">
        <f t="shared" si="4"/>
        <v>1.6616172963456632E-2</v>
      </c>
      <c r="G122" s="34">
        <f t="shared" si="5"/>
        <v>-4.1211188367632046E-2</v>
      </c>
    </row>
    <row r="123" spans="1:7">
      <c r="A123" s="31">
        <f>'Energy Data &amp; SFC Calc (2)'!C114</f>
        <v>46011</v>
      </c>
      <c r="B123" s="32">
        <f>'Energy Data &amp; SFC Calc (2)'!K114</f>
        <v>60.234000000000002</v>
      </c>
      <c r="C123" s="33">
        <f>'Energy Data &amp; SFC Calc (2)'!H114</f>
        <v>92196568.088</v>
      </c>
      <c r="D123" s="33">
        <f>'Energy Data &amp; SFC Calc (2)'!J114</f>
        <v>1530.6399722415911</v>
      </c>
      <c r="E123" s="34">
        <f t="shared" si="3"/>
        <v>4.9539190761372476E-2</v>
      </c>
      <c r="F123" s="34">
        <f t="shared" si="4"/>
        <v>2.1152481802286349E-2</v>
      </c>
      <c r="G123" s="34">
        <f t="shared" si="5"/>
        <v>-2.8970511307158775E-2</v>
      </c>
    </row>
    <row r="124" spans="1:7">
      <c r="A124" s="31">
        <f>'Energy Data &amp; SFC Calc (2)'!C115</f>
        <v>46012</v>
      </c>
      <c r="B124" s="32">
        <f>'Energy Data &amp; SFC Calc (2)'!K115</f>
        <v>60.238</v>
      </c>
      <c r="C124" s="33">
        <f>'Energy Data &amp; SFC Calc (2)'!H115</f>
        <v>92487170.355999991</v>
      </c>
      <c r="D124" s="33">
        <f>'Energy Data &amp; SFC Calc (2)'!J115</f>
        <v>1535.3625677479331</v>
      </c>
      <c r="E124" s="34">
        <f t="shared" si="3"/>
        <v>4.9608888220665115E-2</v>
      </c>
      <c r="F124" s="34">
        <f t="shared" si="4"/>
        <v>2.4371139864507452E-2</v>
      </c>
      <c r="G124" s="34">
        <f t="shared" si="5"/>
        <v>-2.597452297352687E-2</v>
      </c>
    </row>
    <row r="125" spans="1:7">
      <c r="A125" s="31">
        <f>'Energy Data &amp; SFC Calc (2)'!C116</f>
        <v>46013</v>
      </c>
      <c r="B125" s="32">
        <f>'Energy Data &amp; SFC Calc (2)'!K116</f>
        <v>61.11</v>
      </c>
      <c r="C125" s="33">
        <f>'Energy Data &amp; SFC Calc (2)'!H116</f>
        <v>92774349.920000002</v>
      </c>
      <c r="D125" s="33">
        <f>'Energy Data &amp; SFC Calc (2)'!J116</f>
        <v>1518.1533287514319</v>
      </c>
      <c r="E125" s="34">
        <f t="shared" si="3"/>
        <v>6.4802934346506413E-2</v>
      </c>
      <c r="F125" s="34">
        <f t="shared" si="4"/>
        <v>2.7551888677430858E-2</v>
      </c>
      <c r="G125" s="34">
        <f t="shared" si="5"/>
        <v>-3.6891968516970408E-2</v>
      </c>
    </row>
    <row r="126" spans="1:7">
      <c r="A126" s="31">
        <f>'Energy Data &amp; SFC Calc (2)'!C117</f>
        <v>46014</v>
      </c>
      <c r="B126" s="32">
        <f>'Energy Data &amp; SFC Calc (2)'!K117</f>
        <v>61.8</v>
      </c>
      <c r="C126" s="33">
        <f>'Energy Data &amp; SFC Calc (2)'!H117</f>
        <v>93051420.004000008</v>
      </c>
      <c r="D126" s="33">
        <f>'Energy Data &amp; SFC Calc (2)'!J117</f>
        <v>1505.6864078317153</v>
      </c>
      <c r="E126" s="34">
        <f t="shared" si="3"/>
        <v>7.6825746074522749E-2</v>
      </c>
      <c r="F126" s="34">
        <f t="shared" si="4"/>
        <v>3.0620666721747236E-2</v>
      </c>
      <c r="G126" s="34">
        <f t="shared" si="5"/>
        <v>-4.4800913837742207E-2</v>
      </c>
    </row>
    <row r="127" spans="1:7">
      <c r="A127" s="31">
        <f>'Energy Data &amp; SFC Calc (2)'!C118</f>
        <v>46015</v>
      </c>
      <c r="B127" s="32">
        <f>'Energy Data &amp; SFC Calc (2)'!K118</f>
        <v>62.405000000000001</v>
      </c>
      <c r="C127" s="33">
        <f>'Energy Data &amp; SFC Calc (2)'!H118</f>
        <v>94704139.760000005</v>
      </c>
      <c r="D127" s="33">
        <f>'Energy Data &amp; SFC Calc (2)'!J118</f>
        <v>1517.5729470395001</v>
      </c>
      <c r="E127" s="34">
        <f t="shared" si="3"/>
        <v>8.7367486792566451E-2</v>
      </c>
      <c r="F127" s="34">
        <f t="shared" si="4"/>
        <v>4.8925891260606535E-2</v>
      </c>
      <c r="G127" s="34">
        <f t="shared" si="5"/>
        <v>-3.7260159448348262E-2</v>
      </c>
    </row>
    <row r="128" spans="1:7">
      <c r="A128" s="31">
        <f>'Energy Data &amp; SFC Calc (2)'!C119</f>
        <v>46016</v>
      </c>
      <c r="B128" s="32">
        <f>'Energy Data &amp; SFC Calc (2)'!K119</f>
        <v>61.088999999999999</v>
      </c>
      <c r="C128" s="33">
        <f>'Energy Data &amp; SFC Calc (2)'!H119</f>
        <v>92799408.189999998</v>
      </c>
      <c r="D128" s="33">
        <f>'Energy Data &amp; SFC Calc (2)'!J119</f>
        <v>1519.0854031003944</v>
      </c>
      <c r="E128" s="34">
        <f t="shared" si="3"/>
        <v>6.4437022685218892E-2</v>
      </c>
      <c r="F128" s="34">
        <f t="shared" si="4"/>
        <v>2.7829429535304762E-2</v>
      </c>
      <c r="G128" s="34">
        <f t="shared" si="5"/>
        <v>-3.6300665731919479E-2</v>
      </c>
    </row>
    <row r="129" spans="1:7">
      <c r="A129" s="31">
        <f>'Energy Data &amp; SFC Calc (2)'!C120</f>
        <v>46017</v>
      </c>
      <c r="B129" s="32">
        <f>'Energy Data &amp; SFC Calc (2)'!K120</f>
        <v>60.790999999999997</v>
      </c>
      <c r="C129" s="33">
        <f>'Energy Data &amp; SFC Calc (2)'!H120</f>
        <v>92043507.755999997</v>
      </c>
      <c r="D129" s="33">
        <f>'Energy Data &amp; SFC Calc (2)'!J120</f>
        <v>1514.0976091197711</v>
      </c>
      <c r="E129" s="34">
        <f t="shared" si="3"/>
        <v>5.9244561967901621E-2</v>
      </c>
      <c r="F129" s="34">
        <f t="shared" si="4"/>
        <v>1.9457213300121401E-2</v>
      </c>
      <c r="G129" s="34">
        <f t="shared" si="5"/>
        <v>-3.9464894503246417E-2</v>
      </c>
    </row>
    <row r="130" spans="1:7">
      <c r="A130" s="31">
        <f>'Energy Data &amp; SFC Calc (2)'!C121</f>
        <v>46018</v>
      </c>
      <c r="B130" s="32">
        <f>'Energy Data &amp; SFC Calc (2)'!K121</f>
        <v>60.353999999999999</v>
      </c>
      <c r="C130" s="33">
        <f>'Energy Data &amp; SFC Calc (2)'!H121</f>
        <v>92167491.158000007</v>
      </c>
      <c r="D130" s="33">
        <f>'Energy Data &amp; SFC Calc (2)'!J121</f>
        <v>1527.1148748715912</v>
      </c>
      <c r="E130" s="34">
        <f t="shared" si="3"/>
        <v>5.1630114540157868E-2</v>
      </c>
      <c r="F130" s="34">
        <f t="shared" si="4"/>
        <v>2.0830430994447813E-2</v>
      </c>
      <c r="G130" s="34">
        <f t="shared" si="5"/>
        <v>-3.1206813480667672E-2</v>
      </c>
    </row>
    <row r="131" spans="1:7">
      <c r="A131" s="31">
        <f>'Energy Data &amp; SFC Calc (2)'!C122</f>
        <v>46019</v>
      </c>
      <c r="B131" s="32">
        <f>'Energy Data &amp; SFC Calc (2)'!K122</f>
        <v>59.725999999999999</v>
      </c>
      <c r="C131" s="33">
        <f>'Energy Data &amp; SFC Calc (2)'!H122</f>
        <v>91827494.030000001</v>
      </c>
      <c r="D131" s="33">
        <f>'Energy Data &amp; SFC Calc (2)'!J122</f>
        <v>1537.4793897130228</v>
      </c>
      <c r="E131" s="34">
        <f t="shared" si="3"/>
        <v>4.0687613431180436E-2</v>
      </c>
      <c r="F131" s="34">
        <f t="shared" si="4"/>
        <v>1.706468441338771E-2</v>
      </c>
      <c r="G131" s="34">
        <f t="shared" si="5"/>
        <v>-2.463162288748999E-2</v>
      </c>
    </row>
    <row r="132" spans="1:7">
      <c r="A132" s="31">
        <f>'Energy Data &amp; SFC Calc (2)'!C123</f>
        <v>46020</v>
      </c>
      <c r="B132" s="32">
        <f>'Energy Data &amp; SFC Calc (2)'!K123</f>
        <v>60.969000000000001</v>
      </c>
      <c r="C132" s="33">
        <f>'Energy Data &amp; SFC Calc (2)'!H123</f>
        <v>91869787.305999994</v>
      </c>
      <c r="D132" s="33">
        <f>'Energy Data &amp; SFC Calc (2)'!J123</f>
        <v>1506.8278519575522</v>
      </c>
      <c r="E132" s="34">
        <f t="shared" si="3"/>
        <v>6.23460989064335E-2</v>
      </c>
      <c r="F132" s="34">
        <f t="shared" si="4"/>
        <v>1.7533117074674198E-2</v>
      </c>
      <c r="G132" s="34">
        <f t="shared" si="5"/>
        <v>-4.4076788030247727E-2</v>
      </c>
    </row>
    <row r="133" spans="1:7">
      <c r="A133" s="31">
        <f>'Energy Data &amp; SFC Calc (2)'!C124</f>
        <v>46021</v>
      </c>
      <c r="B133" s="32">
        <f>'Energy Data &amp; SFC Calc (2)'!K124</f>
        <v>61.094999999999999</v>
      </c>
      <c r="C133" s="33">
        <f>'Energy Data &amp; SFC Calc (2)'!H124</f>
        <v>91474773.848000005</v>
      </c>
      <c r="D133" s="33">
        <f>'Energy Data &amp; SFC Calc (2)'!J124</f>
        <v>1497.2546664702513</v>
      </c>
      <c r="E133" s="34">
        <f t="shared" si="3"/>
        <v>6.4541568874158184E-2</v>
      </c>
      <c r="F133" s="34">
        <f t="shared" si="4"/>
        <v>1.315801959168561E-2</v>
      </c>
      <c r="G133" s="34">
        <f t="shared" si="5"/>
        <v>-5.0149963680614418E-2</v>
      </c>
    </row>
    <row r="134" spans="1:7">
      <c r="A134" s="31">
        <f>'Energy Data &amp; SFC Calc (2)'!C125</f>
        <v>46022</v>
      </c>
      <c r="B134" s="32">
        <f>'Energy Data &amp; SFC Calc (2)'!K125</f>
        <v>61.737000000000002</v>
      </c>
      <c r="C134" s="33">
        <f>'Energy Data &amp; SFC Calc (2)'!H125</f>
        <v>92224930.320000008</v>
      </c>
      <c r="D134" s="33">
        <f>'Energy Data &amp; SFC Calc (2)'!J125</f>
        <v>1493.8356304971089</v>
      </c>
      <c r="E134" s="34">
        <f t="shared" si="3"/>
        <v>7.572801109066063E-2</v>
      </c>
      <c r="F134" s="34">
        <f t="shared" si="4"/>
        <v>2.1466616744582945E-2</v>
      </c>
      <c r="G134" s="34">
        <f t="shared" si="5"/>
        <v>-5.2318981093612438E-2</v>
      </c>
    </row>
    <row r="135" spans="1:7">
      <c r="A135" s="31">
        <f>'Energy Data &amp; SFC Calc (2)'!C126</f>
        <v>46023</v>
      </c>
      <c r="B135" s="32">
        <f>'Energy Data &amp; SFC Calc (2)'!K126</f>
        <v>59.521000000000001</v>
      </c>
      <c r="C135" s="33">
        <f>'Energy Data &amp; SFC Calc (2)'!H126</f>
        <v>90711735.77700001</v>
      </c>
      <c r="D135" s="33">
        <f>'Energy Data &amp; SFC Calc (2)'!J126</f>
        <v>1524.0290952268949</v>
      </c>
      <c r="E135" s="34">
        <f t="shared" si="3"/>
        <v>3.7115618642421966E-2</v>
      </c>
      <c r="F135" s="34">
        <f t="shared" si="4"/>
        <v>4.7067481824552004E-3</v>
      </c>
      <c r="G135" s="34">
        <f t="shared" si="5"/>
        <v>-3.3164414931660779E-2</v>
      </c>
    </row>
    <row r="136" spans="1:7">
      <c r="A136" s="31">
        <f>'Energy Data &amp; SFC Calc (2)'!C127</f>
        <v>46024</v>
      </c>
      <c r="B136" s="32">
        <f>'Energy Data &amp; SFC Calc (2)'!K127</f>
        <v>60.545999999999999</v>
      </c>
      <c r="C136" s="33">
        <f>'Energy Data &amp; SFC Calc (2)'!H127</f>
        <v>91851871.25</v>
      </c>
      <c r="D136" s="33">
        <f>'Energy Data &amp; SFC Calc (2)'!J127</f>
        <v>1517.0592813728406</v>
      </c>
      <c r="E136" s="34">
        <f t="shared" si="3"/>
        <v>5.4975592586214539E-2</v>
      </c>
      <c r="F136" s="34">
        <f t="shared" si="4"/>
        <v>1.7334682084870323E-2</v>
      </c>
      <c r="G136" s="34">
        <f t="shared" si="5"/>
        <v>-3.7586026091517732E-2</v>
      </c>
    </row>
    <row r="137" spans="1:7">
      <c r="A137" s="31">
        <f>'Energy Data &amp; SFC Calc (2)'!C128</f>
        <v>46025</v>
      </c>
      <c r="B137" s="32">
        <f>'Energy Data &amp; SFC Calc (2)'!K128</f>
        <v>57.177999999999997</v>
      </c>
      <c r="C137" s="33">
        <f>'Energy Data &amp; SFC Calc (2)'!H128</f>
        <v>89738436.633000001</v>
      </c>
      <c r="D137" s="33">
        <f>'Energy Data &amp; SFC Calc (2)'!J128</f>
        <v>1569.4574247612718</v>
      </c>
      <c r="E137" s="34">
        <f t="shared" si="3"/>
        <v>-3.7096681383645969E-3</v>
      </c>
      <c r="F137" s="34">
        <f t="shared" si="4"/>
        <v>-6.0733367712818564E-3</v>
      </c>
      <c r="G137" s="34">
        <f t="shared" si="5"/>
        <v>-4.3449352369455685E-3</v>
      </c>
    </row>
    <row r="138" spans="1:7">
      <c r="A138" s="31">
        <f>'Energy Data &amp; SFC Calc (2)'!C129</f>
        <v>46026</v>
      </c>
      <c r="B138" s="32">
        <f>'Energy Data &amp; SFC Calc (2)'!K129</f>
        <v>52.857999999999997</v>
      </c>
      <c r="C138" s="33">
        <f>'Energy Data &amp; SFC Calc (2)'!H129</f>
        <v>86873456.799999997</v>
      </c>
      <c r="D138" s="33">
        <f>'Energy Data &amp; SFC Calc (2)'!J129</f>
        <v>1643.5252336448598</v>
      </c>
      <c r="E138" s="34">
        <f t="shared" si="3"/>
        <v>-7.8982924174641922E-2</v>
      </c>
      <c r="F138" s="34">
        <f t="shared" si="4"/>
        <v>-3.7805334257229872E-2</v>
      </c>
      <c r="G138" s="34">
        <f t="shared" si="5"/>
        <v>4.2643270933772071E-2</v>
      </c>
    </row>
    <row r="139" spans="1:7">
      <c r="A139" s="31">
        <f>'Energy Data &amp; SFC Calc (2)'!C130</f>
        <v>46027</v>
      </c>
      <c r="B139" s="32">
        <f>'Energy Data &amp; SFC Calc (2)'!K130</f>
        <v>51.573</v>
      </c>
      <c r="C139" s="33">
        <f>'Energy Data &amp; SFC Calc (2)'!H130</f>
        <v>86960473.439999998</v>
      </c>
      <c r="D139" s="33">
        <f>'Energy Data &amp; SFC Calc (2)'!J130</f>
        <v>1686.1627875050899</v>
      </c>
      <c r="E139" s="34">
        <f t="shared" si="3"/>
        <v>-0.10137323297246981</v>
      </c>
      <c r="F139" s="34">
        <f t="shared" si="4"/>
        <v>-3.6841553720309173E-2</v>
      </c>
      <c r="G139" s="34">
        <f t="shared" si="5"/>
        <v>6.969229805631616E-2</v>
      </c>
    </row>
    <row r="140" spans="1:7">
      <c r="A140" s="31">
        <f>'Energy Data &amp; SFC Calc (2)'!C131</f>
        <v>46028</v>
      </c>
      <c r="B140" s="32">
        <f>'Energy Data &amp; SFC Calc (2)'!K131</f>
        <v>48.951000000000001</v>
      </c>
      <c r="C140" s="33">
        <f>'Energy Data &amp; SFC Calc (2)'!H131</f>
        <v>86066964.071999997</v>
      </c>
      <c r="D140" s="33">
        <f>'Energy Data &amp; SFC Calc (2)'!J131</f>
        <v>1758.2268814120241</v>
      </c>
      <c r="E140" s="34">
        <f t="shared" si="3"/>
        <v>-0.14705991753893255</v>
      </c>
      <c r="F140" s="34">
        <f t="shared" si="4"/>
        <v>-4.6737901573256524E-2</v>
      </c>
      <c r="G140" s="34">
        <f t="shared" si="5"/>
        <v>0.11540935858563461</v>
      </c>
    </row>
    <row r="141" spans="1:7">
      <c r="A141" s="31">
        <f>'Energy Data &amp; SFC Calc (2)'!C132</f>
        <v>46029</v>
      </c>
      <c r="B141" s="32">
        <f>'Energy Data &amp; SFC Calc (2)'!K132</f>
        <v>59.01</v>
      </c>
      <c r="C141" s="33">
        <f>'Energy Data &amp; SFC Calc (2)'!H132</f>
        <v>89476217.447999999</v>
      </c>
      <c r="D141" s="33">
        <f>'Energy Data &amp; SFC Calc (2)'!J132</f>
        <v>1516.2890602948653</v>
      </c>
      <c r="E141" s="34">
        <f t="shared" ref="E141:E204" si="6">B141/$B$8-1</f>
        <v>2.8211768217760502E-2</v>
      </c>
      <c r="F141" s="34">
        <f t="shared" ref="F141:F204" si="7">C141/$B$9-1</f>
        <v>-8.97762894930898E-3</v>
      </c>
      <c r="G141" s="34">
        <f t="shared" ref="G141:G204" si="8">D141/$B$10-1</f>
        <v>-3.807465006128874E-2</v>
      </c>
    </row>
    <row r="142" spans="1:7">
      <c r="A142" s="31">
        <f>'Energy Data &amp; SFC Calc (2)'!C133</f>
        <v>46030</v>
      </c>
      <c r="B142" s="32">
        <f>'Energy Data &amp; SFC Calc (2)'!K133</f>
        <v>60.658999999999999</v>
      </c>
      <c r="C142" s="33">
        <f>'Energy Data &amp; SFC Calc (2)'!H133</f>
        <v>91897131.285000011</v>
      </c>
      <c r="D142" s="33">
        <f>'Energy Data &amp; SFC Calc (2)'!J133</f>
        <v>1514.9793317562112</v>
      </c>
      <c r="E142" s="34">
        <f t="shared" si="6"/>
        <v>5.6944545811237646E-2</v>
      </c>
      <c r="F142" s="34">
        <f t="shared" si="7"/>
        <v>1.7835974031253921E-2</v>
      </c>
      <c r="G142" s="34">
        <f t="shared" si="8"/>
        <v>-3.8905534564685818E-2</v>
      </c>
    </row>
    <row r="143" spans="1:7">
      <c r="A143" s="31">
        <f>'Energy Data &amp; SFC Calc (2)'!C134</f>
        <v>46031</v>
      </c>
      <c r="B143" s="32">
        <f>'Energy Data &amp; SFC Calc (2)'!K134</f>
        <v>60.929000000000002</v>
      </c>
      <c r="C143" s="33">
        <f>'Energy Data &amp; SFC Calc (2)'!H134</f>
        <v>90121162.664000005</v>
      </c>
      <c r="D143" s="33">
        <f>'Energy Data &amp; SFC Calc (2)'!J134</f>
        <v>1479.1177052635035</v>
      </c>
      <c r="E143" s="34">
        <f t="shared" si="6"/>
        <v>6.1649124313504888E-2</v>
      </c>
      <c r="F143" s="34">
        <f t="shared" si="7"/>
        <v>-1.8343326032204121E-3</v>
      </c>
      <c r="G143" s="34">
        <f t="shared" si="8"/>
        <v>-6.1655951036503565E-2</v>
      </c>
    </row>
    <row r="144" spans="1:7">
      <c r="A144" s="31">
        <f>'Energy Data &amp; SFC Calc (2)'!C135</f>
        <v>46032</v>
      </c>
      <c r="B144" s="32">
        <f>'Energy Data &amp; SFC Calc (2)'!K135</f>
        <v>60.801000000000002</v>
      </c>
      <c r="C144" s="33">
        <f>'Energy Data &amp; SFC Calc (2)'!H135</f>
        <v>92939635.444000006</v>
      </c>
      <c r="D144" s="33">
        <f>'Energy Data &amp; SFC Calc (2)'!J135</f>
        <v>1528.5872838275686</v>
      </c>
      <c r="E144" s="34">
        <f t="shared" si="6"/>
        <v>5.9418805616133774E-2</v>
      </c>
      <c r="F144" s="34">
        <f t="shared" si="7"/>
        <v>2.9382561190940182E-2</v>
      </c>
      <c r="G144" s="34">
        <f t="shared" si="8"/>
        <v>-3.0272725424953517E-2</v>
      </c>
    </row>
    <row r="145" spans="1:7">
      <c r="A145" s="31">
        <f>'Energy Data &amp; SFC Calc (2)'!C136</f>
        <v>46033</v>
      </c>
      <c r="B145" s="32">
        <f>'Energy Data &amp; SFC Calc (2)'!K136</f>
        <v>57.563000000000002</v>
      </c>
      <c r="C145" s="33">
        <f>'Energy Data &amp; SFC Calc (2)'!H136</f>
        <v>89472617.024000004</v>
      </c>
      <c r="D145" s="33">
        <f>'Energy Data &amp; SFC Calc (2)'!J136</f>
        <v>1554.3424947275159</v>
      </c>
      <c r="E145" s="34">
        <f t="shared" si="6"/>
        <v>2.9987123185721831E-3</v>
      </c>
      <c r="F145" s="34">
        <f t="shared" si="7"/>
        <v>-9.0175065931235032E-3</v>
      </c>
      <c r="G145" s="34">
        <f t="shared" si="8"/>
        <v>-1.3933762817876838E-2</v>
      </c>
    </row>
    <row r="146" spans="1:7">
      <c r="A146" s="31">
        <f>'Energy Data &amp; SFC Calc (2)'!C137</f>
        <v>46034</v>
      </c>
      <c r="B146" s="32">
        <f>'Energy Data &amp; SFC Calc (2)'!K137</f>
        <v>58.106000000000002</v>
      </c>
      <c r="C146" s="33">
        <f>'Energy Data &amp; SFC Calc (2)'!H137</f>
        <v>90340121.969999999</v>
      </c>
      <c r="D146" s="33">
        <f>'Energy Data &amp; SFC Calc (2)'!J137</f>
        <v>1554.7468758820087</v>
      </c>
      <c r="E146" s="34">
        <f t="shared" si="6"/>
        <v>1.2460142417576536E-2</v>
      </c>
      <c r="F146" s="34">
        <f t="shared" si="7"/>
        <v>5.9082099384388798E-4</v>
      </c>
      <c r="G146" s="34">
        <f t="shared" si="8"/>
        <v>-1.3677225661651304E-2</v>
      </c>
    </row>
    <row r="147" spans="1:7">
      <c r="A147" s="31">
        <f>'Energy Data &amp; SFC Calc (2)'!C138</f>
        <v>46035</v>
      </c>
      <c r="B147" s="32">
        <f>'Energy Data &amp; SFC Calc (2)'!K138</f>
        <v>59.597000000000001</v>
      </c>
      <c r="C147" s="33">
        <f>'Energy Data &amp; SFC Calc (2)'!H138</f>
        <v>90836447.675999999</v>
      </c>
      <c r="D147" s="33">
        <f>'Energy Data &amp; SFC Calc (2)'!J138</f>
        <v>1524.1781914525898</v>
      </c>
      <c r="E147" s="34">
        <f t="shared" si="6"/>
        <v>3.8439870368986107E-2</v>
      </c>
      <c r="F147" s="34">
        <f t="shared" si="7"/>
        <v>6.0880345775471412E-3</v>
      </c>
      <c r="G147" s="34">
        <f t="shared" si="8"/>
        <v>-3.3069829114990568E-2</v>
      </c>
    </row>
    <row r="148" spans="1:7">
      <c r="A148" s="31">
        <f>'Energy Data &amp; SFC Calc (2)'!C139</f>
        <v>46036</v>
      </c>
      <c r="B148" s="32">
        <f>'Energy Data &amp; SFC Calc (2)'!K139</f>
        <v>58.764000000000003</v>
      </c>
      <c r="C148" s="33">
        <f>'Energy Data &amp; SFC Calc (2)'!H139</f>
        <v>90618992.201000005</v>
      </c>
      <c r="D148" s="33">
        <f>'Energy Data &amp; SFC Calc (2)'!J139</f>
        <v>1542.083455874345</v>
      </c>
      <c r="E148" s="34">
        <f t="shared" si="6"/>
        <v>2.3925374471250205E-2</v>
      </c>
      <c r="F148" s="34">
        <f t="shared" si="7"/>
        <v>3.6795371401394661E-3</v>
      </c>
      <c r="G148" s="34">
        <f t="shared" si="8"/>
        <v>-2.1710828911366664E-2</v>
      </c>
    </row>
    <row r="149" spans="1:7">
      <c r="A149" s="31">
        <f>'Energy Data &amp; SFC Calc (2)'!C140</f>
        <v>46037</v>
      </c>
      <c r="B149" s="32">
        <f>'Energy Data &amp; SFC Calc (2)'!K140</f>
        <v>58.802999999999997</v>
      </c>
      <c r="C149" s="33">
        <f>'Energy Data &amp; SFC Calc (2)'!H140</f>
        <v>90967701.431999996</v>
      </c>
      <c r="D149" s="33">
        <f>'Energy Data &amp; SFC Calc (2)'!J140</f>
        <v>1546.9908241416254</v>
      </c>
      <c r="E149" s="34">
        <f t="shared" si="6"/>
        <v>2.4604924699355379E-2</v>
      </c>
      <c r="F149" s="34">
        <f t="shared" si="7"/>
        <v>7.541777395363658E-3</v>
      </c>
      <c r="G149" s="34">
        <f t="shared" si="8"/>
        <v>-1.8597621765452321E-2</v>
      </c>
    </row>
    <row r="150" spans="1:7">
      <c r="A150" s="31">
        <f>'Energy Data &amp; SFC Calc (2)'!C141</f>
        <v>46038</v>
      </c>
      <c r="B150" s="32">
        <f>'Energy Data &amp; SFC Calc (2)'!K141</f>
        <v>58.442999999999998</v>
      </c>
      <c r="C150" s="33">
        <f>'Energy Data &amp; SFC Calc (2)'!H141</f>
        <v>91086779.887999997</v>
      </c>
      <c r="D150" s="33">
        <f>'Energy Data &amp; SFC Calc (2)'!J141</f>
        <v>1558.557566996903</v>
      </c>
      <c r="E150" s="34">
        <f t="shared" si="6"/>
        <v>1.8332153362998982E-2</v>
      </c>
      <c r="F150" s="34">
        <f t="shared" si="7"/>
        <v>8.8606687965873121E-3</v>
      </c>
      <c r="G150" s="34">
        <f t="shared" si="8"/>
        <v>-1.1259744404159222E-2</v>
      </c>
    </row>
    <row r="151" spans="1:7">
      <c r="A151" s="31">
        <f>'Energy Data &amp; SFC Calc (2)'!C142</f>
        <v>46039</v>
      </c>
      <c r="B151" s="32">
        <f>'Energy Data &amp; SFC Calc (2)'!K142</f>
        <v>57.640999999999998</v>
      </c>
      <c r="C151" s="33">
        <f>'Energy Data &amp; SFC Calc (2)'!H142</f>
        <v>89764131.807999998</v>
      </c>
      <c r="D151" s="33">
        <f>'Energy Data &amp; SFC Calc (2)'!J142</f>
        <v>1557.2965737582624</v>
      </c>
      <c r="E151" s="34">
        <f t="shared" si="6"/>
        <v>4.3578127747827544E-3</v>
      </c>
      <c r="F151" s="34">
        <f t="shared" si="7"/>
        <v>-5.7887416690374227E-3</v>
      </c>
      <c r="G151" s="34">
        <f t="shared" si="8"/>
        <v>-1.2059711504174953E-2</v>
      </c>
    </row>
    <row r="152" spans="1:7">
      <c r="A152" s="31">
        <f>'Energy Data &amp; SFC Calc (2)'!C143</f>
        <v>46040</v>
      </c>
      <c r="B152" s="32">
        <f>'Energy Data &amp; SFC Calc (2)'!K143</f>
        <v>59.152000000000001</v>
      </c>
      <c r="C152" s="33">
        <f>'Energy Data &amp; SFC Calc (2)'!H143</f>
        <v>91198844.673000008</v>
      </c>
      <c r="D152" s="33">
        <f>'Energy Data &amp; SFC Calc (2)'!J143</f>
        <v>1541.7711095651882</v>
      </c>
      <c r="E152" s="34">
        <f t="shared" si="6"/>
        <v>3.0686028022656631E-2</v>
      </c>
      <c r="F152" s="34">
        <f t="shared" si="7"/>
        <v>1.0101878048716761E-2</v>
      </c>
      <c r="G152" s="34">
        <f t="shared" si="8"/>
        <v>-2.1908979673385121E-2</v>
      </c>
    </row>
    <row r="153" spans="1:7">
      <c r="A153" s="31">
        <f>'Energy Data &amp; SFC Calc (2)'!C144</f>
        <v>46041</v>
      </c>
      <c r="B153" s="32">
        <f>'Energy Data &amp; SFC Calc (2)'!K144</f>
        <v>58.359000000000002</v>
      </c>
      <c r="C153" s="33">
        <f>'Energy Data &amp; SFC Calc (2)'!H144</f>
        <v>90789796.049999997</v>
      </c>
      <c r="D153" s="33">
        <f>'Energy Data &amp; SFC Calc (2)'!J144</f>
        <v>1555.7119904384926</v>
      </c>
      <c r="E153" s="34">
        <f t="shared" si="6"/>
        <v>1.6868506717849341E-2</v>
      </c>
      <c r="F153" s="34">
        <f t="shared" si="7"/>
        <v>5.571329621408827E-3</v>
      </c>
      <c r="G153" s="34">
        <f t="shared" si="8"/>
        <v>-1.3064962352637988E-2</v>
      </c>
    </row>
    <row r="154" spans="1:7">
      <c r="A154" s="31">
        <f>'Energy Data &amp; SFC Calc (2)'!C145</f>
        <v>46042</v>
      </c>
      <c r="B154" s="32">
        <f>'Energy Data &amp; SFC Calc (2)'!K145</f>
        <v>59.902000000000001</v>
      </c>
      <c r="C154" s="33">
        <f>'Energy Data &amp; SFC Calc (2)'!H145</f>
        <v>91200830.520000011</v>
      </c>
      <c r="D154" s="33">
        <f>'Energy Data &amp; SFC Calc (2)'!J145</f>
        <v>1522.5005929685153</v>
      </c>
      <c r="E154" s="34">
        <f t="shared" si="6"/>
        <v>4.3754301640065885E-2</v>
      </c>
      <c r="F154" s="34">
        <f t="shared" si="7"/>
        <v>1.0123872930246192E-2</v>
      </c>
      <c r="G154" s="34">
        <f t="shared" si="8"/>
        <v>-3.4134088266564278E-2</v>
      </c>
    </row>
    <row r="155" spans="1:7">
      <c r="A155" s="31">
        <f>'Energy Data &amp; SFC Calc (2)'!C146</f>
        <v>46043</v>
      </c>
      <c r="B155" s="32">
        <f>'Energy Data &amp; SFC Calc (2)'!K146</f>
        <v>59.375</v>
      </c>
      <c r="C155" s="33">
        <f>'Energy Data &amp; SFC Calc (2)'!H146</f>
        <v>91123083.986000001</v>
      </c>
      <c r="D155" s="33">
        <f>'Energy Data &amp; SFC Calc (2)'!J146</f>
        <v>1534.7045723957895</v>
      </c>
      <c r="E155" s="34">
        <f t="shared" si="6"/>
        <v>3.4571661378232976E-2</v>
      </c>
      <c r="F155" s="34">
        <f t="shared" si="7"/>
        <v>9.2627664076059268E-3</v>
      </c>
      <c r="G155" s="34">
        <f t="shared" si="8"/>
        <v>-2.6391951566756777E-2</v>
      </c>
    </row>
    <row r="156" spans="1:7">
      <c r="A156" s="31">
        <f>'Energy Data &amp; SFC Calc (2)'!C147</f>
        <v>46044</v>
      </c>
      <c r="B156" s="32">
        <f>'Energy Data &amp; SFC Calc (2)'!K147</f>
        <v>60.262</v>
      </c>
      <c r="C156" s="33">
        <f>'Energy Data &amp; SFC Calc (2)'!H147</f>
        <v>92600543.961999997</v>
      </c>
      <c r="D156" s="33">
        <f>'Energy Data &amp; SFC Calc (2)'!J147</f>
        <v>1536.6324377219476</v>
      </c>
      <c r="E156" s="34">
        <f t="shared" si="6"/>
        <v>5.0027072976422282E-2</v>
      </c>
      <c r="F156" s="34">
        <f t="shared" si="7"/>
        <v>2.56268453808699E-2</v>
      </c>
      <c r="G156" s="34">
        <f t="shared" si="8"/>
        <v>-2.516892452194075E-2</v>
      </c>
    </row>
    <row r="157" spans="1:7">
      <c r="A157" s="31">
        <f>'Energy Data &amp; SFC Calc (2)'!C148</f>
        <v>46045</v>
      </c>
      <c r="B157" s="32">
        <f>'Energy Data &amp; SFC Calc (2)'!K148</f>
        <v>60.784999999999997</v>
      </c>
      <c r="C157" s="33">
        <f>'Energy Data &amp; SFC Calc (2)'!H148</f>
        <v>91324698.400000006</v>
      </c>
      <c r="D157" s="33">
        <f>'Energy Data &amp; SFC Calc (2)'!J148</f>
        <v>1502.421623755861</v>
      </c>
      <c r="E157" s="34">
        <f t="shared" si="6"/>
        <v>5.9140015778962329E-2</v>
      </c>
      <c r="F157" s="34">
        <f t="shared" si="7"/>
        <v>1.1495811123833466E-2</v>
      </c>
      <c r="G157" s="34">
        <f t="shared" si="8"/>
        <v>-4.6872074704674693E-2</v>
      </c>
    </row>
    <row r="158" spans="1:7">
      <c r="A158" s="31">
        <f>'Energy Data &amp; SFC Calc (2)'!C149</f>
        <v>46046</v>
      </c>
      <c r="B158" s="32">
        <f>'Energy Data &amp; SFC Calc (2)'!K149</f>
        <v>61.512999999999998</v>
      </c>
      <c r="C158" s="33">
        <f>'Energy Data &amp; SFC Calc (2)'!H149</f>
        <v>92291467.63499999</v>
      </c>
      <c r="D158" s="33">
        <f>'Energy Data &amp; SFC Calc (2)'!J149</f>
        <v>1500.3571218279062</v>
      </c>
      <c r="E158" s="34">
        <f t="shared" si="6"/>
        <v>7.1824953370260847E-2</v>
      </c>
      <c r="F158" s="34">
        <f t="shared" si="7"/>
        <v>2.2203571988728577E-2</v>
      </c>
      <c r="G158" s="34">
        <f t="shared" si="8"/>
        <v>-4.8181783250030086E-2</v>
      </c>
    </row>
    <row r="159" spans="1:7">
      <c r="A159" s="31">
        <f>'Energy Data &amp; SFC Calc (2)'!C150</f>
        <v>46047</v>
      </c>
      <c r="B159" s="32">
        <f>'Energy Data &amp; SFC Calc (2)'!K150</f>
        <v>61.984000000000002</v>
      </c>
      <c r="C159" s="33">
        <f>'Energy Data &amp; SFC Calc (2)'!H150</f>
        <v>93459390.656000003</v>
      </c>
      <c r="D159" s="33">
        <f>'Energy Data &amp; SFC Calc (2)'!J150</f>
        <v>1507.7986360351058</v>
      </c>
      <c r="E159" s="34">
        <f t="shared" si="6"/>
        <v>8.003182920199392E-2</v>
      </c>
      <c r="F159" s="34">
        <f t="shared" si="7"/>
        <v>3.5139275737591014E-2</v>
      </c>
      <c r="G159" s="34">
        <f t="shared" si="8"/>
        <v>-4.3460928008587918E-2</v>
      </c>
    </row>
    <row r="160" spans="1:7">
      <c r="A160" s="31">
        <f>'Energy Data &amp; SFC Calc (2)'!C151</f>
        <v>46048</v>
      </c>
      <c r="B160" s="32">
        <f>'Energy Data &amp; SFC Calc (2)'!K151</f>
        <v>59.238999999999997</v>
      </c>
      <c r="C160" s="33">
        <f>'Energy Data &amp; SFC Calc (2)'!H151</f>
        <v>92630835.480000004</v>
      </c>
      <c r="D160" s="33">
        <f>'Energy Data &amp; SFC Calc (2)'!J151</f>
        <v>1563.6799318016847</v>
      </c>
      <c r="E160" s="34">
        <f t="shared" si="6"/>
        <v>3.2201947762275918E-2</v>
      </c>
      <c r="F160" s="34">
        <f t="shared" si="7"/>
        <v>2.5962348745309116E-2</v>
      </c>
      <c r="G160" s="34">
        <f t="shared" si="8"/>
        <v>-8.0101446501419371E-3</v>
      </c>
    </row>
    <row r="161" spans="1:7">
      <c r="A161" s="31">
        <f>'Energy Data &amp; SFC Calc (2)'!C152</f>
        <v>46049</v>
      </c>
      <c r="B161" s="32">
        <f>'Energy Data &amp; SFC Calc (2)'!K152</f>
        <v>58.261000000000003</v>
      </c>
      <c r="C161" s="33">
        <f>'Energy Data &amp; SFC Calc (2)'!H152</f>
        <v>91559547.484000012</v>
      </c>
      <c r="D161" s="33">
        <f>'Energy Data &amp; SFC Calc (2)'!J152</f>
        <v>1571.54095336503</v>
      </c>
      <c r="E161" s="34">
        <f t="shared" si="6"/>
        <v>1.5160918965174464E-2</v>
      </c>
      <c r="F161" s="34">
        <f t="shared" si="7"/>
        <v>1.4096957022742496E-2</v>
      </c>
      <c r="G161" s="34">
        <f t="shared" si="8"/>
        <v>-3.023156274240657E-3</v>
      </c>
    </row>
    <row r="162" spans="1:7">
      <c r="A162" s="31">
        <f>'Energy Data &amp; SFC Calc (2)'!C153</f>
        <v>46050</v>
      </c>
      <c r="B162" s="32">
        <f>'Energy Data &amp; SFC Calc (2)'!K153</f>
        <v>59.417000000000002</v>
      </c>
      <c r="C162" s="33">
        <f>'Energy Data &amp; SFC Calc (2)'!H153</f>
        <v>91653170.607999995</v>
      </c>
      <c r="D162" s="33">
        <f>'Energy Data &amp; SFC Calc (2)'!J153</f>
        <v>1542.5412021475336</v>
      </c>
      <c r="E162" s="34">
        <f t="shared" si="6"/>
        <v>3.5303484700807797E-2</v>
      </c>
      <c r="F162" s="34">
        <f t="shared" si="7"/>
        <v>1.5133909779329047E-2</v>
      </c>
      <c r="G162" s="34">
        <f t="shared" si="8"/>
        <v>-2.1420437220527444E-2</v>
      </c>
    </row>
    <row r="163" spans="1:7">
      <c r="A163" s="31">
        <f>'Energy Data &amp; SFC Calc (2)'!C154</f>
        <v>46051</v>
      </c>
      <c r="B163" s="32">
        <f>'Energy Data &amp; SFC Calc (2)'!K154</f>
        <v>55.853000000000002</v>
      </c>
      <c r="C163" s="33">
        <f>'Energy Data &amp; SFC Calc (2)'!H154</f>
        <v>92093985.276999995</v>
      </c>
      <c r="D163" s="33">
        <f>'Energy Data &amp; SFC Calc (2)'!J154</f>
        <v>1648.8637186364206</v>
      </c>
      <c r="E163" s="34">
        <f t="shared" si="6"/>
        <v>-2.6796951529120872E-2</v>
      </c>
      <c r="F163" s="34">
        <f t="shared" si="7"/>
        <v>2.0016293176014166E-2</v>
      </c>
      <c r="G163" s="34">
        <f t="shared" si="8"/>
        <v>4.6029976132747175E-2</v>
      </c>
    </row>
    <row r="164" spans="1:7">
      <c r="A164" s="31">
        <f>'Energy Data &amp; SFC Calc (2)'!C155</f>
        <v>46052</v>
      </c>
      <c r="B164" s="32">
        <f>'Energy Data &amp; SFC Calc (2)'!K155</f>
        <v>53.084000000000003</v>
      </c>
      <c r="C164" s="33">
        <f>'Energy Data &amp; SFC Calc (2)'!H155</f>
        <v>87636531.554999992</v>
      </c>
      <c r="D164" s="33">
        <f>'Energy Data &amp; SFC Calc (2)'!J155</f>
        <v>1650.9029378908897</v>
      </c>
      <c r="E164" s="34">
        <f t="shared" si="6"/>
        <v>-7.5045017724595819E-2</v>
      </c>
      <c r="F164" s="34">
        <f t="shared" si="7"/>
        <v>-2.9353656542662865E-2</v>
      </c>
      <c r="G164" s="34">
        <f t="shared" si="8"/>
        <v>4.7323645490604083E-2</v>
      </c>
    </row>
    <row r="165" spans="1:7">
      <c r="A165" s="31">
        <f>'Energy Data &amp; SFC Calc (2)'!C156</f>
        <v>46053</v>
      </c>
      <c r="B165" s="32">
        <f>'Energy Data &amp; SFC Calc (2)'!K156</f>
        <v>53.420999999999999</v>
      </c>
      <c r="C165" s="33">
        <f>'Energy Data &amp; SFC Calc (2)'!H156</f>
        <v>87325044.570000008</v>
      </c>
      <c r="D165" s="33">
        <f>'Energy Data &amp; SFC Calc (2)'!J156</f>
        <v>1634.6576172291798</v>
      </c>
      <c r="E165" s="34">
        <f t="shared" si="6"/>
        <v>-6.9173006779173374E-2</v>
      </c>
      <c r="F165" s="34">
        <f t="shared" si="7"/>
        <v>-3.2803629945992174E-2</v>
      </c>
      <c r="G165" s="34">
        <f t="shared" si="8"/>
        <v>3.7017704379782357E-2</v>
      </c>
    </row>
    <row r="166" spans="1:7">
      <c r="A166" s="31">
        <f>'Energy Data &amp; SFC Calc (2)'!C157</f>
        <v>46054</v>
      </c>
      <c r="B166" s="32">
        <f>'Energy Data &amp; SFC Calc (2)'!K157</f>
        <v>51.274999999999999</v>
      </c>
      <c r="C166" s="33">
        <f>'Energy Data &amp; SFC Calc (2)'!H157</f>
        <v>87583385.487999991</v>
      </c>
      <c r="D166" s="33">
        <f>'Energy Data &amp; SFC Calc (2)'!J157</f>
        <v>1708.110882262311</v>
      </c>
      <c r="E166" s="34">
        <f t="shared" si="6"/>
        <v>-0.10656569368978708</v>
      </c>
      <c r="F166" s="34">
        <f t="shared" si="7"/>
        <v>-2.9942292750501753E-2</v>
      </c>
      <c r="G166" s="34">
        <f t="shared" si="8"/>
        <v>8.3616047348368694E-2</v>
      </c>
    </row>
    <row r="167" spans="1:7">
      <c r="A167" s="31">
        <f>'Energy Data &amp; SFC Calc (2)'!C158</f>
        <v>46055</v>
      </c>
      <c r="B167" s="32">
        <f>'Energy Data &amp; SFC Calc (2)'!K158</f>
        <v>52.46</v>
      </c>
      <c r="C167" s="33">
        <f>'Energy Data &amp; SFC Calc (2)'!H158</f>
        <v>86608686.134000003</v>
      </c>
      <c r="D167" s="33">
        <f>'Energy Data &amp; SFC Calc (2)'!J158</f>
        <v>1650.9471241707968</v>
      </c>
      <c r="E167" s="34">
        <f t="shared" si="6"/>
        <v>-8.591782137428039E-2</v>
      </c>
      <c r="F167" s="34">
        <f t="shared" si="7"/>
        <v>-4.0737886176475668E-2</v>
      </c>
      <c r="G167" s="34">
        <f t="shared" si="8"/>
        <v>4.7351677020920357E-2</v>
      </c>
    </row>
    <row r="168" spans="1:7">
      <c r="A168" s="31">
        <f>'Energy Data &amp; SFC Calc (2)'!C159</f>
        <v>46056</v>
      </c>
      <c r="B168" s="32">
        <f>'Energy Data &amp; SFC Calc (2)'!K159</f>
        <v>51.341999999999999</v>
      </c>
      <c r="C168" s="33">
        <f>'Energy Data &amp; SFC Calc (2)'!H159</f>
        <v>86045092.919</v>
      </c>
      <c r="D168" s="33">
        <f>'Energy Data &amp; SFC Calc (2)'!J159</f>
        <v>1675.9201612519964</v>
      </c>
      <c r="E168" s="34">
        <f t="shared" si="6"/>
        <v>-0.10539826124663187</v>
      </c>
      <c r="F168" s="34">
        <f t="shared" si="7"/>
        <v>-4.6980142500755218E-2</v>
      </c>
      <c r="G168" s="34">
        <f t="shared" si="8"/>
        <v>6.3194432905932185E-2</v>
      </c>
    </row>
    <row r="169" spans="1:7">
      <c r="A169" s="31">
        <f>'Energy Data &amp; SFC Calc (2)'!C160</f>
        <v>46057</v>
      </c>
      <c r="B169" s="32">
        <f>'Energy Data &amp; SFC Calc (2)'!K160</f>
        <v>53.057000000000002</v>
      </c>
      <c r="C169" s="33">
        <f>'Energy Data &amp; SFC Calc (2)'!H160</f>
        <v>86387483.760000005</v>
      </c>
      <c r="D169" s="33">
        <f>'Energy Data &amp; SFC Calc (2)'!J160</f>
        <v>1628.2014392068909</v>
      </c>
      <c r="E169" s="34">
        <f t="shared" si="6"/>
        <v>-7.5515475574822633E-2</v>
      </c>
      <c r="F169" s="34">
        <f t="shared" si="7"/>
        <v>-4.3187883588256315E-2</v>
      </c>
      <c r="G169" s="34">
        <f t="shared" si="8"/>
        <v>3.2921940936003979E-2</v>
      </c>
    </row>
    <row r="170" spans="1:7">
      <c r="A170" s="31">
        <f>'Energy Data &amp; SFC Calc (2)'!C161</f>
        <v>46058</v>
      </c>
      <c r="B170" s="32">
        <f>'Energy Data &amp; SFC Calc (2)'!K161</f>
        <v>54.613999999999997</v>
      </c>
      <c r="C170" s="33">
        <f>'Energy Data &amp; SFC Calc (2)'!H161</f>
        <v>89436552.711999997</v>
      </c>
      <c r="D170" s="33">
        <f>'Energy Data &amp; SFC Calc (2)'!J161</f>
        <v>1637.6122003881787</v>
      </c>
      <c r="E170" s="34">
        <f t="shared" si="6"/>
        <v>-4.8385739545081075E-2</v>
      </c>
      <c r="F170" s="34">
        <f t="shared" si="7"/>
        <v>-9.4169483778562268E-3</v>
      </c>
      <c r="G170" s="34">
        <f t="shared" si="8"/>
        <v>3.8892075509644908E-2</v>
      </c>
    </row>
    <row r="171" spans="1:7">
      <c r="A171" s="31">
        <f>'Energy Data &amp; SFC Calc (2)'!C162</f>
        <v>46059</v>
      </c>
      <c r="B171" s="32">
        <f>'Energy Data &amp; SFC Calc (2)'!K162</f>
        <v>58.152000000000001</v>
      </c>
      <c r="C171" s="33">
        <f>'Energy Data &amp; SFC Calc (2)'!H162</f>
        <v>89973743.758000001</v>
      </c>
      <c r="D171" s="33">
        <f>'Energy Data &amp; SFC Calc (2)'!J162</f>
        <v>1547.2166693836841</v>
      </c>
      <c r="E171" s="34">
        <f t="shared" si="6"/>
        <v>1.3261663199444218E-2</v>
      </c>
      <c r="F171" s="34">
        <f t="shared" si="7"/>
        <v>-3.4671176932553616E-3</v>
      </c>
      <c r="G171" s="34">
        <f t="shared" si="8"/>
        <v>-1.8454346799492205E-2</v>
      </c>
    </row>
    <row r="172" spans="1:7">
      <c r="A172" s="31">
        <f>'Energy Data &amp; SFC Calc (2)'!C163</f>
        <v>46060</v>
      </c>
      <c r="B172" s="32">
        <f>'Energy Data &amp; SFC Calc (2)'!K163</f>
        <v>57.87</v>
      </c>
      <c r="C172" s="33">
        <f>'Energy Data &amp; SFC Calc (2)'!H163</f>
        <v>90501956.204999998</v>
      </c>
      <c r="D172" s="33">
        <f>'Energy Data &amp; SFC Calc (2)'!J163</f>
        <v>1563.8838120787973</v>
      </c>
      <c r="E172" s="34">
        <f t="shared" si="6"/>
        <v>8.3479923192983918E-3</v>
      </c>
      <c r="F172" s="34">
        <f t="shared" si="7"/>
        <v>2.3832676557749011E-3</v>
      </c>
      <c r="G172" s="34">
        <f t="shared" si="8"/>
        <v>-7.8808041358279235E-3</v>
      </c>
    </row>
    <row r="173" spans="1:7">
      <c r="A173" s="31">
        <f>'Energy Data &amp; SFC Calc (2)'!C164</f>
        <v>46061</v>
      </c>
      <c r="B173" s="32">
        <f>'Energy Data &amp; SFC Calc (2)'!K164</f>
        <v>60.404000000000003</v>
      </c>
      <c r="C173" s="33">
        <f>'Energy Data &amp; SFC Calc (2)'!H164</f>
        <v>92219314.925000012</v>
      </c>
      <c r="D173" s="33">
        <f>'Energy Data &amp; SFC Calc (2)'!J164</f>
        <v>1526.7087432123703</v>
      </c>
      <c r="E173" s="34">
        <f t="shared" si="6"/>
        <v>5.2501332781318411E-2</v>
      </c>
      <c r="F173" s="34">
        <f t="shared" si="7"/>
        <v>2.1404421647092109E-2</v>
      </c>
      <c r="G173" s="34">
        <f t="shared" si="8"/>
        <v>-3.1464461147360678E-2</v>
      </c>
    </row>
    <row r="174" spans="1:7">
      <c r="A174" s="31">
        <f>'Energy Data &amp; SFC Calc (2)'!C165</f>
        <v>46062</v>
      </c>
      <c r="B174" s="32">
        <f>'Energy Data &amp; SFC Calc (2)'!K165</f>
        <v>59.530999999999999</v>
      </c>
      <c r="C174" s="33">
        <f>'Energy Data &amp; SFC Calc (2)'!H165</f>
        <v>91654199.767999992</v>
      </c>
      <c r="D174" s="33">
        <f>'Energy Data &amp; SFC Calc (2)'!J165</f>
        <v>1539.604571870118</v>
      </c>
      <c r="E174" s="34">
        <f t="shared" si="6"/>
        <v>3.7289862290654119E-2</v>
      </c>
      <c r="F174" s="34">
        <f t="shared" si="7"/>
        <v>1.5145308569001648E-2</v>
      </c>
      <c r="G174" s="34">
        <f t="shared" si="8"/>
        <v>-2.3283419142123729E-2</v>
      </c>
    </row>
    <row r="175" spans="1:7">
      <c r="A175" s="31">
        <f>'Energy Data &amp; SFC Calc (2)'!C166</f>
        <v>46063</v>
      </c>
      <c r="B175" s="32">
        <f>'Energy Data &amp; SFC Calc (2)'!K166</f>
        <v>58.158999999999999</v>
      </c>
      <c r="C175" s="33">
        <f>'Energy Data &amp; SFC Calc (2)'!H166</f>
        <v>91021455.42400001</v>
      </c>
      <c r="D175" s="33">
        <f>'Energy Data &amp; SFC Calc (2)'!J166</f>
        <v>1565.0450562079818</v>
      </c>
      <c r="E175" s="34">
        <f t="shared" si="6"/>
        <v>1.3383633753206725E-2</v>
      </c>
      <c r="F175" s="34">
        <f t="shared" si="7"/>
        <v>8.1371468703446137E-3</v>
      </c>
      <c r="G175" s="34">
        <f t="shared" si="8"/>
        <v>-7.1441173162891669E-3</v>
      </c>
    </row>
    <row r="176" spans="1:7">
      <c r="A176" s="31">
        <f>'Energy Data &amp; SFC Calc (2)'!C167</f>
        <v>46064</v>
      </c>
      <c r="B176" s="32">
        <f>'Energy Data &amp; SFC Calc (2)'!K167</f>
        <v>55.917000000000002</v>
      </c>
      <c r="C176" s="33">
        <f>'Energy Data &amp; SFC Calc (2)'!H167</f>
        <v>89345548.159999996</v>
      </c>
      <c r="D176" s="33">
        <f>'Energy Data &amp; SFC Calc (2)'!J167</f>
        <v>1597.8244211957008</v>
      </c>
      <c r="E176" s="34">
        <f t="shared" si="6"/>
        <v>-2.5681792180435314E-2</v>
      </c>
      <c r="F176" s="34">
        <f t="shared" si="7"/>
        <v>-1.0424898305465335E-2</v>
      </c>
      <c r="G176" s="34">
        <f t="shared" si="8"/>
        <v>1.3650929592806449E-2</v>
      </c>
    </row>
    <row r="177" spans="1:7">
      <c r="A177" s="31">
        <f>'Energy Data &amp; SFC Calc (2)'!C168</f>
        <v>46065</v>
      </c>
      <c r="B177" s="32">
        <f>'Energy Data &amp; SFC Calc (2)'!K168</f>
        <v>56.152999999999999</v>
      </c>
      <c r="C177" s="33">
        <f>'Energy Data &amp; SFC Calc (2)'!H168</f>
        <v>90297563.060000002</v>
      </c>
      <c r="D177" s="33">
        <f>'Energy Data &amp; SFC Calc (2)'!J168</f>
        <v>1608.0630253058607</v>
      </c>
      <c r="E177" s="34">
        <f t="shared" si="6"/>
        <v>-2.1569642082157281E-2</v>
      </c>
      <c r="F177" s="34">
        <f t="shared" si="7"/>
        <v>1.1944621850723536E-4</v>
      </c>
      <c r="G177" s="34">
        <f t="shared" si="8"/>
        <v>2.014624311807478E-2</v>
      </c>
    </row>
    <row r="178" spans="1:7">
      <c r="A178" s="31">
        <f>'Energy Data &amp; SFC Calc (2)'!C169</f>
        <v>46066</v>
      </c>
      <c r="B178" s="32">
        <f>'Energy Data &amp; SFC Calc (2)'!K169</f>
        <v>51.951999999999998</v>
      </c>
      <c r="C178" s="33">
        <f>'Energy Data &amp; SFC Calc (2)'!H169</f>
        <v>87059654.770000011</v>
      </c>
      <c r="D178" s="33">
        <f>'Energy Data &amp; SFC Calc (2)'!J169</f>
        <v>1675.770995726825</v>
      </c>
      <c r="E178" s="34">
        <f t="shared" si="6"/>
        <v>-9.4769398704472319E-2</v>
      </c>
      <c r="F178" s="34">
        <f t="shared" si="7"/>
        <v>-3.5743039281232791E-2</v>
      </c>
      <c r="G178" s="34">
        <f t="shared" si="8"/>
        <v>6.3099803126059228E-2</v>
      </c>
    </row>
    <row r="179" spans="1:7">
      <c r="A179" s="31">
        <f>'Energy Data &amp; SFC Calc (2)'!C170</f>
        <v>46067</v>
      </c>
      <c r="B179" s="32">
        <f>'Energy Data &amp; SFC Calc (2)'!K170</f>
        <v>50.787999999999997</v>
      </c>
      <c r="C179" s="33">
        <f>'Energy Data &amp; SFC Calc (2)'!H170</f>
        <v>85540498.239999995</v>
      </c>
      <c r="D179" s="33">
        <f>'Energy Data &amp; SFC Calc (2)'!J170</f>
        <v>1684.2659336851223</v>
      </c>
      <c r="E179" s="34">
        <f t="shared" si="6"/>
        <v>-0.11505135935869149</v>
      </c>
      <c r="F179" s="34">
        <f t="shared" si="7"/>
        <v>-5.2568941731039653E-2</v>
      </c>
      <c r="G179" s="34">
        <f t="shared" si="8"/>
        <v>6.8488944538616758E-2</v>
      </c>
    </row>
    <row r="180" spans="1:7">
      <c r="A180" s="31">
        <f>'Energy Data &amp; SFC Calc (2)'!C171</f>
        <v>46068</v>
      </c>
      <c r="B180" s="32">
        <f>'Energy Data &amp; SFC Calc (2)'!K171</f>
        <v>51.061999999999998</v>
      </c>
      <c r="C180" s="33">
        <f>'Energy Data &amp; SFC Calc (2)'!H171</f>
        <v>86692071.863999993</v>
      </c>
      <c r="D180" s="33">
        <f>'Energy Data &amp; SFC Calc (2)'!J171</f>
        <v>1697.7805778073712</v>
      </c>
      <c r="E180" s="34">
        <f t="shared" si="6"/>
        <v>-0.11027708339713127</v>
      </c>
      <c r="F180" s="34">
        <f t="shared" si="7"/>
        <v>-3.9814320940781522E-2</v>
      </c>
      <c r="G180" s="34">
        <f t="shared" si="8"/>
        <v>7.7062559634186512E-2</v>
      </c>
    </row>
    <row r="181" spans="1:7">
      <c r="A181" s="31">
        <f>'Energy Data &amp; SFC Calc (2)'!C172</f>
        <v>46069</v>
      </c>
      <c r="B181" s="32">
        <f>'Energy Data &amp; SFC Calc (2)'!K172</f>
        <v>53.767000000000003</v>
      </c>
      <c r="C181" s="33">
        <f>'Energy Data &amp; SFC Calc (2)'!H172</f>
        <v>87241099.407000005</v>
      </c>
      <c r="D181" s="33">
        <f>'Energy Data &amp; SFC Calc (2)'!J172</f>
        <v>1622.5770343705249</v>
      </c>
      <c r="E181" s="34">
        <f t="shared" si="6"/>
        <v>-6.3144176550341879E-2</v>
      </c>
      <c r="F181" s="34">
        <f t="shared" si="7"/>
        <v>-3.3733391360223242E-2</v>
      </c>
      <c r="G181" s="34">
        <f t="shared" si="8"/>
        <v>2.9353849777075336E-2</v>
      </c>
    </row>
    <row r="182" spans="1:7">
      <c r="A182" s="31">
        <f>'Energy Data &amp; SFC Calc (2)'!C173</f>
        <v>46070</v>
      </c>
      <c r="B182" s="32">
        <f>'Energy Data &amp; SFC Calc (2)'!K173</f>
        <v>55.904000000000003</v>
      </c>
      <c r="C182" s="33">
        <f>'Energy Data &amp; SFC Calc (2)'!H173</f>
        <v>90226336.019999996</v>
      </c>
      <c r="D182" s="33">
        <f>'Energy Data &amp; SFC Calc (2)'!J173</f>
        <v>1613.9513455208928</v>
      </c>
      <c r="E182" s="34">
        <f t="shared" si="6"/>
        <v>-2.5908308923137002E-2</v>
      </c>
      <c r="F182" s="34">
        <f t="shared" si="7"/>
        <v>-6.6945156994424604E-4</v>
      </c>
      <c r="G182" s="34">
        <f t="shared" si="8"/>
        <v>2.3881760725973589E-2</v>
      </c>
    </row>
    <row r="183" spans="1:7">
      <c r="A183" s="31">
        <f>'Energy Data &amp; SFC Calc (2)'!C174</f>
        <v>46071</v>
      </c>
      <c r="B183" s="32">
        <f>'Energy Data &amp; SFC Calc (2)'!K174</f>
        <v>59.616</v>
      </c>
      <c r="C183" s="33">
        <f>'Energy Data &amp; SFC Calc (2)'!H174</f>
        <v>92017038.184</v>
      </c>
      <c r="D183" s="33">
        <f>'Energy Data &amp; SFC Calc (2)'!J174</f>
        <v>1543.4956753891572</v>
      </c>
      <c r="E183" s="34">
        <f t="shared" si="6"/>
        <v>3.8770933300627197E-2</v>
      </c>
      <c r="F183" s="34">
        <f t="shared" si="7"/>
        <v>1.9164041117028408E-2</v>
      </c>
      <c r="G183" s="34">
        <f t="shared" si="8"/>
        <v>-2.0814924702500459E-2</v>
      </c>
    </row>
    <row r="184" spans="1:7">
      <c r="A184" s="31">
        <f>'Energy Data &amp; SFC Calc (2)'!C175</f>
        <v>46072</v>
      </c>
      <c r="B184" s="32">
        <f>'Energy Data &amp; SFC Calc (2)'!K175</f>
        <v>58.67</v>
      </c>
      <c r="C184" s="33">
        <f>'Energy Data &amp; SFC Calc (2)'!H175</f>
        <v>91597506.927000001</v>
      </c>
      <c r="D184" s="33">
        <f>'Energy Data &amp; SFC Calc (2)'!J175</f>
        <v>1561.2324344128174</v>
      </c>
      <c r="E184" s="34">
        <f t="shared" si="6"/>
        <v>2.2287484177868189E-2</v>
      </c>
      <c r="F184" s="34">
        <f t="shared" si="7"/>
        <v>1.4517388935026743E-2</v>
      </c>
      <c r="G184" s="34">
        <f t="shared" si="8"/>
        <v>-9.5628233866108525E-3</v>
      </c>
    </row>
    <row r="185" spans="1:7">
      <c r="A185" s="31">
        <f>'Energy Data &amp; SFC Calc (2)'!C176</f>
        <v>46073</v>
      </c>
      <c r="B185" s="32">
        <f>'Energy Data &amp; SFC Calc (2)'!K176</f>
        <v>58.075000000000003</v>
      </c>
      <c r="C185" s="33">
        <f>'Energy Data &amp; SFC Calc (2)'!H176</f>
        <v>90704747.640000001</v>
      </c>
      <c r="D185" s="33">
        <f>'Energy Data &amp; SFC Calc (2)'!J176</f>
        <v>1561.8553188118813</v>
      </c>
      <c r="E185" s="34">
        <f t="shared" si="6"/>
        <v>1.1919987108056862E-2</v>
      </c>
      <c r="F185" s="34">
        <f t="shared" si="7"/>
        <v>4.6293488433180041E-3</v>
      </c>
      <c r="G185" s="34">
        <f t="shared" si="8"/>
        <v>-9.1676689868129824E-3</v>
      </c>
    </row>
    <row r="186" spans="1:7">
      <c r="A186" s="31">
        <f>'Energy Data &amp; SFC Calc (2)'!C177</f>
        <v>46074</v>
      </c>
      <c r="B186" s="32">
        <f>'Energy Data &amp; SFC Calc (2)'!K177</f>
        <v>57.146999999999998</v>
      </c>
      <c r="C186" s="33">
        <f>'Energy Data &amp; SFC Calc (2)'!H177</f>
        <v>90255584.319999993</v>
      </c>
      <c r="D186" s="33">
        <f>'Energy Data &amp; SFC Calc (2)'!J177</f>
        <v>1579.3582221288955</v>
      </c>
      <c r="E186" s="34">
        <f t="shared" si="6"/>
        <v>-4.2498234478841601E-3</v>
      </c>
      <c r="F186" s="34">
        <f t="shared" si="7"/>
        <v>-3.4550269903843578E-4</v>
      </c>
      <c r="G186" s="34">
        <f t="shared" si="8"/>
        <v>1.9360755689172837E-3</v>
      </c>
    </row>
    <row r="187" spans="1:7">
      <c r="A187" s="31">
        <f>'Energy Data &amp; SFC Calc (2)'!C178</f>
        <v>46075</v>
      </c>
      <c r="B187" s="32">
        <f>'Energy Data &amp; SFC Calc (2)'!K178</f>
        <v>56.058</v>
      </c>
      <c r="C187" s="33">
        <f>'Energy Data &amp; SFC Calc (2)'!H178</f>
        <v>90370839.663000003</v>
      </c>
      <c r="D187" s="33">
        <f>'Energy Data &amp; SFC Calc (2)'!J178</f>
        <v>1612.0953238253237</v>
      </c>
      <c r="E187" s="34">
        <f t="shared" si="6"/>
        <v>-2.3224956740362401E-2</v>
      </c>
      <c r="F187" s="34">
        <f t="shared" si="7"/>
        <v>9.3104459535853223E-4</v>
      </c>
      <c r="G187" s="34">
        <f t="shared" si="8"/>
        <v>2.270431088098368E-2</v>
      </c>
    </row>
    <row r="188" spans="1:7">
      <c r="A188" s="31">
        <f>'Energy Data &amp; SFC Calc (2)'!C179</f>
        <v>46076</v>
      </c>
      <c r="B188" s="32">
        <f>'Energy Data &amp; SFC Calc (2)'!K179</f>
        <v>56.542999999999999</v>
      </c>
      <c r="C188" s="33">
        <f>'Energy Data &amp; SFC Calc (2)'!H179</f>
        <v>90476545.66399999</v>
      </c>
      <c r="D188" s="33">
        <f>'Energy Data &amp; SFC Calc (2)'!J179</f>
        <v>1600.1369871425286</v>
      </c>
      <c r="E188" s="34">
        <f t="shared" si="6"/>
        <v>-1.4774139801104424E-2</v>
      </c>
      <c r="F188" s="34">
        <f t="shared" si="7"/>
        <v>2.1018251081377226E-3</v>
      </c>
      <c r="G188" s="34">
        <f t="shared" si="8"/>
        <v>1.5118008572606145E-2</v>
      </c>
    </row>
    <row r="189" spans="1:7">
      <c r="A189" s="31">
        <f>'Energy Data &amp; SFC Calc (2)'!C180</f>
        <v>46077</v>
      </c>
      <c r="B189" s="32">
        <f>'Energy Data &amp; SFC Calc (2)'!K180</f>
        <v>55.167999999999999</v>
      </c>
      <c r="C189" s="33">
        <f>'Energy Data &amp; SFC Calc (2)'!H180</f>
        <v>89236252.351999998</v>
      </c>
      <c r="D189" s="33">
        <f>'Energy Data &amp; SFC Calc (2)'!J180</f>
        <v>1617.5364767981439</v>
      </c>
      <c r="E189" s="34">
        <f t="shared" si="6"/>
        <v>-3.8732641433021353E-2</v>
      </c>
      <c r="F189" s="34">
        <f t="shared" si="7"/>
        <v>-1.1635438870090886E-2</v>
      </c>
      <c r="G189" s="34">
        <f t="shared" si="8"/>
        <v>2.6156148076480035E-2</v>
      </c>
    </row>
    <row r="190" spans="1:7">
      <c r="A190" s="31">
        <f>'Energy Data &amp; SFC Calc (2)'!C181</f>
        <v>46078</v>
      </c>
      <c r="B190" s="32">
        <f>'Energy Data &amp; SFC Calc (2)'!K181</f>
        <v>57.606999999999999</v>
      </c>
      <c r="C190" s="33">
        <f>'Energy Data &amp; SFC Calc (2)'!H181</f>
        <v>90881084.913000003</v>
      </c>
      <c r="D190" s="33">
        <f>'Energy Data &amp; SFC Calc (2)'!J181</f>
        <v>1577.6048902563925</v>
      </c>
      <c r="E190" s="34">
        <f t="shared" si="6"/>
        <v>3.7653843707934342E-3</v>
      </c>
      <c r="F190" s="34">
        <f t="shared" si="7"/>
        <v>6.5824285261357751E-3</v>
      </c>
      <c r="G190" s="34">
        <f t="shared" si="8"/>
        <v>8.2377157676938317E-4</v>
      </c>
    </row>
    <row r="191" spans="1:7">
      <c r="A191" s="31">
        <f>'Energy Data &amp; SFC Calc (2)'!C182</f>
        <v>46079</v>
      </c>
      <c r="B191" s="32">
        <f>'Energy Data &amp; SFC Calc (2)'!K182</f>
        <v>56.753999999999998</v>
      </c>
      <c r="C191" s="33">
        <f>'Energy Data &amp; SFC Calc (2)'!H182</f>
        <v>91235777.986000001</v>
      </c>
      <c r="D191" s="33">
        <f>'Energy Data &amp; SFC Calc (2)'!J182</f>
        <v>1607.5655986538395</v>
      </c>
      <c r="E191" s="34">
        <f t="shared" si="6"/>
        <v>-1.1097598823406662E-2</v>
      </c>
      <c r="F191" s="34">
        <f t="shared" si="7"/>
        <v>1.051094473105918E-2</v>
      </c>
      <c r="G191" s="34">
        <f t="shared" si="8"/>
        <v>1.9830678415509784E-2</v>
      </c>
    </row>
    <row r="192" spans="1:7">
      <c r="A192" s="31">
        <f>'Energy Data &amp; SFC Calc (2)'!C183</f>
        <v>46080</v>
      </c>
      <c r="B192" s="32">
        <f>'Energy Data &amp; SFC Calc (2)'!K183</f>
        <v>57.536000000000001</v>
      </c>
      <c r="C192" s="33">
        <f>'Energy Data &amp; SFC Calc (2)'!H183</f>
        <v>91840421.067999989</v>
      </c>
      <c r="D192" s="33">
        <f>'Energy Data &amp; SFC Calc (2)'!J183</f>
        <v>1596.2253383620687</v>
      </c>
      <c r="E192" s="34">
        <f t="shared" si="6"/>
        <v>2.52825446834537E-3</v>
      </c>
      <c r="F192" s="34">
        <f t="shared" si="7"/>
        <v>1.7207861943851155E-2</v>
      </c>
      <c r="G192" s="34">
        <f t="shared" si="8"/>
        <v>1.2636480333360289E-2</v>
      </c>
    </row>
    <row r="193" spans="1:7">
      <c r="A193" s="31">
        <f>'Energy Data &amp; SFC Calc (2)'!C184</f>
        <v>46081</v>
      </c>
      <c r="B193" s="32">
        <f>'Energy Data &amp; SFC Calc (2)'!K184</f>
        <v>59.021999999999998</v>
      </c>
      <c r="C193" s="33">
        <f>'Energy Data &amp; SFC Calc (2)'!H184</f>
        <v>93224931.018999994</v>
      </c>
      <c r="D193" s="33">
        <f>'Energy Data &amp; SFC Calc (2)'!J184</f>
        <v>1579.4946125004235</v>
      </c>
      <c r="E193" s="34">
        <f t="shared" si="6"/>
        <v>2.8420860595638864E-2</v>
      </c>
      <c r="F193" s="34">
        <f t="shared" si="7"/>
        <v>3.2542443283084532E-2</v>
      </c>
      <c r="G193" s="34">
        <f t="shared" si="8"/>
        <v>2.0226008623429603E-3</v>
      </c>
    </row>
    <row r="194" spans="1:7">
      <c r="A194" s="31">
        <f>'Energy Data &amp; SFC Calc (2)'!C185</f>
        <v>46082</v>
      </c>
      <c r="B194" s="32">
        <f>'Energy Data &amp; SFC Calc (2)'!K185</f>
        <v>60.341999999999999</v>
      </c>
      <c r="C194" s="33">
        <f>'Energy Data &amp; SFC Calc (2)'!H185</f>
        <v>92888826.615999997</v>
      </c>
      <c r="D194" s="33">
        <f>'Energy Data &amp; SFC Calc (2)'!J185</f>
        <v>1539.3726859567134</v>
      </c>
      <c r="E194" s="34">
        <f t="shared" si="6"/>
        <v>5.1421022162279284E-2</v>
      </c>
      <c r="F194" s="34">
        <f t="shared" si="7"/>
        <v>2.8819811818749264E-2</v>
      </c>
      <c r="G194" s="34">
        <f t="shared" si="8"/>
        <v>-2.3430526276402075E-2</v>
      </c>
    </row>
    <row r="195" spans="1:7">
      <c r="A195" s="31">
        <f>'Energy Data &amp; SFC Calc (2)'!C186</f>
        <v>46083</v>
      </c>
      <c r="B195" s="32">
        <f>'Energy Data &amp; SFC Calc (2)'!K186</f>
        <v>62.436</v>
      </c>
      <c r="C195" s="33">
        <f>'Energy Data &amp; SFC Calc (2)'!H186</f>
        <v>94980410</v>
      </c>
      <c r="D195" s="33">
        <f>'Energy Data &amp; SFC Calc (2)'!J186</f>
        <v>1521.244314177718</v>
      </c>
      <c r="E195" s="34">
        <f t="shared" si="6"/>
        <v>8.7907642102085903E-2</v>
      </c>
      <c r="F195" s="34">
        <f t="shared" si="7"/>
        <v>5.1985810377713326E-2</v>
      </c>
      <c r="G195" s="34">
        <f t="shared" si="8"/>
        <v>-3.4931064547078616E-2</v>
      </c>
    </row>
    <row r="196" spans="1:7">
      <c r="A196" s="31">
        <f>'Energy Data &amp; SFC Calc (2)'!C187</f>
        <v>46084</v>
      </c>
      <c r="B196" s="32">
        <f>'Energy Data &amp; SFC Calc (2)'!K187</f>
        <v>59.597000000000001</v>
      </c>
      <c r="C196" s="33">
        <f>'Energy Data &amp; SFC Calc (2)'!H187</f>
        <v>92687164.320000008</v>
      </c>
      <c r="D196" s="33">
        <f>'Energy Data &amp; SFC Calc (2)'!J187</f>
        <v>1555.2320472507006</v>
      </c>
      <c r="E196" s="34">
        <f t="shared" si="6"/>
        <v>3.8439870368986107E-2</v>
      </c>
      <c r="F196" s="34">
        <f t="shared" si="7"/>
        <v>2.658623677016636E-2</v>
      </c>
      <c r="G196" s="34">
        <f t="shared" si="8"/>
        <v>-1.3369435642696437E-2</v>
      </c>
    </row>
    <row r="197" spans="1:7">
      <c r="A197" s="31">
        <f>'Energy Data &amp; SFC Calc (2)'!C188</f>
        <v>46085</v>
      </c>
      <c r="B197" s="32">
        <f>'Energy Data &amp; SFC Calc (2)'!K188</f>
        <v>58.832000000000001</v>
      </c>
      <c r="C197" s="33">
        <f>'Energy Data &amp; SFC Calc (2)'!H188</f>
        <v>92275613.363999993</v>
      </c>
      <c r="D197" s="33">
        <f>'Energy Data &amp; SFC Calc (2)'!J188</f>
        <v>1568.4595690100625</v>
      </c>
      <c r="E197" s="34">
        <f t="shared" si="6"/>
        <v>2.5110231279228623E-2</v>
      </c>
      <c r="F197" s="34">
        <f t="shared" si="7"/>
        <v>2.2027972955982023E-2</v>
      </c>
      <c r="G197" s="34">
        <f t="shared" si="8"/>
        <v>-4.9779693778657652E-3</v>
      </c>
    </row>
    <row r="198" spans="1:7">
      <c r="A198" s="31">
        <f>'Energy Data &amp; SFC Calc (2)'!C189</f>
        <v>46086</v>
      </c>
      <c r="B198" s="32">
        <f>'Energy Data &amp; SFC Calc (2)'!K189</f>
        <v>56.231000000000002</v>
      </c>
      <c r="C198" s="33">
        <f>'Energy Data &amp; SFC Calc (2)'!H189</f>
        <v>90705098.900000006</v>
      </c>
      <c r="D198" s="33">
        <f>'Energy Data &amp; SFC Calc (2)'!J189</f>
        <v>1613.0799541178355</v>
      </c>
      <c r="E198" s="34">
        <f t="shared" si="6"/>
        <v>-2.0210541625946599E-2</v>
      </c>
      <c r="F198" s="34">
        <f t="shared" si="7"/>
        <v>4.633239335428474E-3</v>
      </c>
      <c r="G198" s="34">
        <f t="shared" si="8"/>
        <v>2.3328954864433982E-2</v>
      </c>
    </row>
    <row r="199" spans="1:7">
      <c r="A199" s="31">
        <f>'Energy Data &amp; SFC Calc (2)'!C190</f>
        <v>46087</v>
      </c>
      <c r="B199" s="32">
        <f>'Energy Data &amp; SFC Calc (2)'!K190</f>
        <v>54.390999999999998</v>
      </c>
      <c r="C199" s="33">
        <f>'Energy Data &amp; SFC Calc (2)'!H190</f>
        <v>89092468.065000013</v>
      </c>
      <c r="D199" s="33">
        <f>'Energy Data &amp; SFC Calc (2)'!J190</f>
        <v>1638.0001850489973</v>
      </c>
      <c r="E199" s="34">
        <f t="shared" si="6"/>
        <v>-5.227137290065742E-2</v>
      </c>
      <c r="F199" s="34">
        <f t="shared" si="7"/>
        <v>-1.3227967578687272E-2</v>
      </c>
      <c r="G199" s="34">
        <f t="shared" si="8"/>
        <v>3.9138210821441088E-2</v>
      </c>
    </row>
    <row r="200" spans="1:7">
      <c r="A200" s="31">
        <f>'Energy Data &amp; SFC Calc (2)'!C191</f>
        <v>46088</v>
      </c>
      <c r="B200" s="32">
        <f>'Energy Data &amp; SFC Calc (2)'!K191</f>
        <v>55.258000000000003</v>
      </c>
      <c r="C200" s="33">
        <f>'Energy Data &amp; SFC Calc (2)'!H191</f>
        <v>88823061.068999991</v>
      </c>
      <c r="D200" s="33">
        <f>'Energy Data &amp; SFC Calc (2)'!J191</f>
        <v>1607.4244646747979</v>
      </c>
      <c r="E200" s="34">
        <f t="shared" si="6"/>
        <v>-3.7164448598932198E-2</v>
      </c>
      <c r="F200" s="34">
        <f t="shared" si="7"/>
        <v>-1.6211870648894178E-2</v>
      </c>
      <c r="G200" s="34">
        <f t="shared" si="8"/>
        <v>1.9741143803849948E-2</v>
      </c>
    </row>
    <row r="201" spans="1:7">
      <c r="A201" s="31">
        <f>'Energy Data &amp; SFC Calc (2)'!C192</f>
        <v>46089</v>
      </c>
      <c r="B201" s="32">
        <f>'Energy Data &amp; SFC Calc (2)'!K192</f>
        <v>52.216999999999999</v>
      </c>
      <c r="C201" s="33">
        <f>'Energy Data &amp; SFC Calc (2)'!H192</f>
        <v>85916872.041999996</v>
      </c>
      <c r="D201" s="33">
        <f>'Energy Data &amp; SFC Calc (2)'!J192</f>
        <v>1645.3812368002757</v>
      </c>
      <c r="E201" s="34">
        <f t="shared" si="6"/>
        <v>-9.0151942026321041E-2</v>
      </c>
      <c r="F201" s="34">
        <f t="shared" si="7"/>
        <v>-4.8400293700336161E-2</v>
      </c>
      <c r="G201" s="34">
        <f t="shared" si="8"/>
        <v>4.3820709016991977E-2</v>
      </c>
    </row>
    <row r="202" spans="1:7">
      <c r="A202" s="31">
        <f>'Energy Data &amp; SFC Calc (2)'!C193</f>
        <v>46090</v>
      </c>
      <c r="B202" s="32">
        <f>'Energy Data &amp; SFC Calc (2)'!K193</f>
        <v>52.54</v>
      </c>
      <c r="C202" s="33">
        <f>'Energy Data &amp; SFC Calc (2)'!H193</f>
        <v>86251937.534999996</v>
      </c>
      <c r="D202" s="33">
        <f>'Energy Data &amp; SFC Calc (2)'!J193</f>
        <v>1641.6432724590786</v>
      </c>
      <c r="E202" s="34">
        <f t="shared" si="6"/>
        <v>-8.4523872188423388E-2</v>
      </c>
      <c r="F202" s="34">
        <f t="shared" si="7"/>
        <v>-4.4689169014906605E-2</v>
      </c>
      <c r="G202" s="34">
        <f t="shared" si="8"/>
        <v>4.1449365220403989E-2</v>
      </c>
    </row>
    <row r="203" spans="1:7">
      <c r="A203" s="31">
        <f>'Energy Data &amp; SFC Calc (2)'!C194</f>
        <v>46091</v>
      </c>
      <c r="B203" s="32">
        <f>'Energy Data &amp; SFC Calc (2)'!K194</f>
        <v>55.866999999999997</v>
      </c>
      <c r="C203" s="33">
        <f>'Energy Data &amp; SFC Calc (2)'!H194</f>
        <v>88552712</v>
      </c>
      <c r="D203" s="33">
        <f>'Energy Data &amp; SFC Calc (2)'!J194</f>
        <v>1585.0629530850053</v>
      </c>
      <c r="E203" s="34">
        <f t="shared" si="6"/>
        <v>-2.6553010421595968E-2</v>
      </c>
      <c r="F203" s="34">
        <f t="shared" si="7"/>
        <v>-1.9206207948941789E-2</v>
      </c>
      <c r="G203" s="34">
        <f t="shared" si="8"/>
        <v>5.5551251716328132E-3</v>
      </c>
    </row>
    <row r="204" spans="1:7">
      <c r="A204" s="31">
        <f>'Energy Data &amp; SFC Calc (2)'!C195</f>
        <v>46092</v>
      </c>
      <c r="B204" s="32">
        <f>'Energy Data &amp; SFC Calc (2)'!K195</f>
        <v>57.643999999999998</v>
      </c>
      <c r="C204" s="33">
        <f>'Energy Data &amp; SFC Calc (2)'!H195</f>
        <v>91138799.329999998</v>
      </c>
      <c r="D204" s="33">
        <f>'Energy Data &amp; SFC Calc (2)'!J195</f>
        <v>1581.0630651932552</v>
      </c>
      <c r="E204" s="34">
        <f t="shared" si="6"/>
        <v>4.4100858692524003E-3</v>
      </c>
      <c r="F204" s="34">
        <f t="shared" si="7"/>
        <v>9.4368267100746195E-3</v>
      </c>
      <c r="G204" s="34">
        <f t="shared" si="8"/>
        <v>3.0176185307557724E-3</v>
      </c>
    </row>
    <row r="205" spans="1:7">
      <c r="A205" s="31">
        <f>'Energy Data &amp; SFC Calc (2)'!C196</f>
        <v>46093</v>
      </c>
      <c r="B205" s="32">
        <f>'Energy Data &amp; SFC Calc (2)'!K196</f>
        <v>58.22</v>
      </c>
      <c r="C205" s="33">
        <f>'Energy Data &amp; SFC Calc (2)'!H196</f>
        <v>91087061.084999993</v>
      </c>
      <c r="D205" s="33">
        <f>'Energy Data &amp; SFC Calc (2)'!J196</f>
        <v>1564.532138182755</v>
      </c>
      <c r="E205" s="34">
        <f t="shared" ref="E205:E268" si="9">B205/$B$8-1</f>
        <v>1.4446520007422636E-2</v>
      </c>
      <c r="F205" s="34">
        <f t="shared" ref="F205:F268" si="10">C205/$B$9-1</f>
        <v>8.8637832836053754E-3</v>
      </c>
      <c r="G205" s="34">
        <f t="shared" ref="G205:G268" si="11">D205/$B$10-1</f>
        <v>-7.4695096598903499E-3</v>
      </c>
    </row>
    <row r="206" spans="1:7">
      <c r="A206" s="31">
        <f>'Energy Data &amp; SFC Calc (2)'!C197</f>
        <v>46094</v>
      </c>
      <c r="B206" s="32">
        <f>'Energy Data &amp; SFC Calc (2)'!K197</f>
        <v>60.460999999999999</v>
      </c>
      <c r="C206" s="33">
        <f>'Energy Data &amp; SFC Calc (2)'!H197</f>
        <v>92763994.304000005</v>
      </c>
      <c r="D206" s="33">
        <f>'Energy Data &amp; SFC Calc (2)'!J197</f>
        <v>1534.2782008898298</v>
      </c>
      <c r="E206" s="34">
        <f t="shared" si="9"/>
        <v>5.3494521576241461E-2</v>
      </c>
      <c r="F206" s="34">
        <f t="shared" si="10"/>
        <v>2.7437191751088719E-2</v>
      </c>
      <c r="G206" s="34">
        <f t="shared" si="11"/>
        <v>-2.6662439279696137E-2</v>
      </c>
    </row>
    <row r="207" spans="1:7">
      <c r="A207" s="31">
        <f>'Energy Data &amp; SFC Calc (2)'!C198</f>
        <v>46095</v>
      </c>
      <c r="B207" s="32">
        <f>'Energy Data &amp; SFC Calc (2)'!K198</f>
        <v>58.53</v>
      </c>
      <c r="C207" s="33">
        <f>'Energy Data &amp; SFC Calc (2)'!H198</f>
        <v>92387009.679999992</v>
      </c>
      <c r="D207" s="33">
        <f>'Energy Data &amp; SFC Calc (2)'!J198</f>
        <v>1578.4556582948915</v>
      </c>
      <c r="E207" s="34">
        <f t="shared" si="9"/>
        <v>1.9848073102618491E-2</v>
      </c>
      <c r="F207" s="34">
        <f t="shared" si="10"/>
        <v>2.3261778366596042E-2</v>
      </c>
      <c r="G207" s="34">
        <f t="shared" si="11"/>
        <v>1.3634940904903026E-3</v>
      </c>
    </row>
    <row r="208" spans="1:7">
      <c r="A208" s="31">
        <f>'Energy Data &amp; SFC Calc (2)'!C199</f>
        <v>46096</v>
      </c>
      <c r="B208" s="32">
        <f>'Energy Data &amp; SFC Calc (2)'!K199</f>
        <v>60.015999999999998</v>
      </c>
      <c r="C208" s="33">
        <f>'Energy Data &amp; SFC Calc (2)'!H199</f>
        <v>92919853.724000007</v>
      </c>
      <c r="D208" s="33">
        <f>'Energy Data &amp; SFC Calc (2)'!J199</f>
        <v>1548.2513617035459</v>
      </c>
      <c r="E208" s="34">
        <f t="shared" si="9"/>
        <v>4.5740679229911985E-2</v>
      </c>
      <c r="F208" s="34">
        <f t="shared" si="10"/>
        <v>2.9163462444736998E-2</v>
      </c>
      <c r="G208" s="34">
        <f t="shared" si="11"/>
        <v>-1.7797943744214395E-2</v>
      </c>
    </row>
    <row r="209" spans="1:7">
      <c r="A209" s="31">
        <f>'Energy Data &amp; SFC Calc (2)'!C200</f>
        <v>46097</v>
      </c>
      <c r="B209" s="32">
        <f>'Energy Data &amp; SFC Calc (2)'!K200</f>
        <v>58.895000000000003</v>
      </c>
      <c r="C209" s="33">
        <f>'Energy Data &amp; SFC Calc (2)'!H200</f>
        <v>92687127.392000005</v>
      </c>
      <c r="D209" s="33">
        <f>'Energy Data &amp; SFC Calc (2)'!J200</f>
        <v>1573.7690362849139</v>
      </c>
      <c r="E209" s="34">
        <f t="shared" si="9"/>
        <v>2.6207966263091187E-2</v>
      </c>
      <c r="F209" s="34">
        <f t="shared" si="10"/>
        <v>2.6585827762329872E-2</v>
      </c>
      <c r="G209" s="34">
        <f t="shared" si="11"/>
        <v>-1.6096728570451635E-3</v>
      </c>
    </row>
    <row r="210" spans="1:7">
      <c r="A210" s="31">
        <f>'Energy Data &amp; SFC Calc (2)'!C201</f>
        <v>46098</v>
      </c>
      <c r="B210" s="32">
        <f>'Energy Data &amp; SFC Calc (2)'!K201</f>
        <v>56.218000000000004</v>
      </c>
      <c r="C210" s="33">
        <f>'Energy Data &amp; SFC Calc (2)'!H201</f>
        <v>92047657.497999996</v>
      </c>
      <c r="D210" s="33">
        <f>'Energy Data &amp; SFC Calc (2)'!J201</f>
        <v>1637.3342612330568</v>
      </c>
      <c r="E210" s="34">
        <f t="shared" si="9"/>
        <v>-2.0437058368648398E-2</v>
      </c>
      <c r="F210" s="34">
        <f t="shared" si="10"/>
        <v>1.950317509056565E-2</v>
      </c>
      <c r="G210" s="34">
        <f t="shared" si="11"/>
        <v>3.8715752454857366E-2</v>
      </c>
    </row>
    <row r="211" spans="1:7">
      <c r="A211" s="31">
        <f>'Energy Data &amp; SFC Calc (2)'!C202</f>
        <v>46099</v>
      </c>
      <c r="B211" s="32">
        <f>'Energy Data &amp; SFC Calc (2)'!K202</f>
        <v>57.02</v>
      </c>
      <c r="C211" s="33">
        <f>'Energy Data &amp; SFC Calc (2)'!H202</f>
        <v>90396484.848000005</v>
      </c>
      <c r="D211" s="33">
        <f>'Energy Data &amp; SFC Calc (2)'!J202</f>
        <v>1585.3469808488251</v>
      </c>
      <c r="E211" s="34">
        <f t="shared" si="9"/>
        <v>-6.462717780432059E-3</v>
      </c>
      <c r="F211" s="34">
        <f t="shared" si="10"/>
        <v>1.2150860174215961E-3</v>
      </c>
      <c r="G211" s="34">
        <f t="shared" si="11"/>
        <v>5.7353108059283731E-3</v>
      </c>
    </row>
    <row r="212" spans="1:7">
      <c r="A212" s="31">
        <f>'Energy Data &amp; SFC Calc (2)'!C203</f>
        <v>46100</v>
      </c>
      <c r="B212" s="32">
        <f>'Energy Data &amp; SFC Calc (2)'!K203</f>
        <v>58.73</v>
      </c>
      <c r="C212" s="33">
        <f>'Energy Data &amp; SFC Calc (2)'!H203</f>
        <v>91374424.901999995</v>
      </c>
      <c r="D212" s="33">
        <f>'Energy Data &amp; SFC Calc (2)'!J203</f>
        <v>1555.8390073556955</v>
      </c>
      <c r="E212" s="34">
        <f t="shared" si="9"/>
        <v>2.3332946067260885E-2</v>
      </c>
      <c r="F212" s="34">
        <f t="shared" si="10"/>
        <v>1.2046572849369275E-2</v>
      </c>
      <c r="G212" s="34">
        <f t="shared" si="11"/>
        <v>-1.2984383526523757E-2</v>
      </c>
    </row>
    <row r="213" spans="1:7">
      <c r="A213" s="31">
        <f>'Energy Data &amp; SFC Calc (2)'!C204</f>
        <v>46101</v>
      </c>
      <c r="B213" s="32">
        <f>'Energy Data &amp; SFC Calc (2)'!K204</f>
        <v>57.692</v>
      </c>
      <c r="C213" s="33">
        <f>'Energy Data &amp; SFC Calc (2)'!H204</f>
        <v>91401531.071999997</v>
      </c>
      <c r="D213" s="33">
        <f>'Energy Data &amp; SFC Calc (2)'!J204</f>
        <v>1584.301654856826</v>
      </c>
      <c r="E213" s="34">
        <f t="shared" si="9"/>
        <v>5.2464553807665126E-3</v>
      </c>
      <c r="F213" s="34">
        <f t="shared" si="10"/>
        <v>1.2346795876556627E-2</v>
      </c>
      <c r="G213" s="34">
        <f t="shared" si="11"/>
        <v>5.0721618081652764E-3</v>
      </c>
    </row>
    <row r="214" spans="1:7">
      <c r="A214" s="31">
        <f>'Energy Data &amp; SFC Calc (2)'!C205</f>
        <v>46102</v>
      </c>
      <c r="B214" s="32">
        <f>'Energy Data &amp; SFC Calc (2)'!K205</f>
        <v>57.417999999999999</v>
      </c>
      <c r="C214" s="33">
        <f>'Energy Data &amp; SFC Calc (2)'!H205</f>
        <v>92415572.239999995</v>
      </c>
      <c r="D214" s="33">
        <f>'Energy Data &amp; SFC Calc (2)'!J205</f>
        <v>1609.5226625796788</v>
      </c>
      <c r="E214" s="34">
        <f t="shared" si="9"/>
        <v>4.7217941920640882E-4</v>
      </c>
      <c r="F214" s="34">
        <f t="shared" si="10"/>
        <v>2.35781321055204E-2</v>
      </c>
      <c r="G214" s="34">
        <f t="shared" si="11"/>
        <v>2.1072228889632116E-2</v>
      </c>
    </row>
    <row r="215" spans="1:7">
      <c r="A215" s="31">
        <f>'Energy Data &amp; SFC Calc (2)'!C206</f>
        <v>46103</v>
      </c>
      <c r="B215" s="32">
        <f>'Energy Data &amp; SFC Calc (2)'!K206</f>
        <v>58.66</v>
      </c>
      <c r="C215" s="33">
        <f>'Energy Data &amp; SFC Calc (2)'!H206</f>
        <v>92376706.175999999</v>
      </c>
      <c r="D215" s="33">
        <f>'Energy Data &amp; SFC Calc (2)'!J206</f>
        <v>1574.7818986703035</v>
      </c>
      <c r="E215" s="34">
        <f t="shared" si="9"/>
        <v>2.2113240529636036E-2</v>
      </c>
      <c r="F215" s="34">
        <f t="shared" si="10"/>
        <v>2.314765862332302E-2</v>
      </c>
      <c r="G215" s="34">
        <f t="shared" si="11"/>
        <v>-9.6711859083142837E-4</v>
      </c>
    </row>
    <row r="216" spans="1:7">
      <c r="A216" s="31">
        <f>'Energy Data &amp; SFC Calc (2)'!C207</f>
        <v>46104</v>
      </c>
      <c r="B216" s="32">
        <f>'Energy Data &amp; SFC Calc (2)'!K207</f>
        <v>59.945</v>
      </c>
      <c r="C216" s="33">
        <f>'Energy Data &amp; SFC Calc (2)'!H207</f>
        <v>93562776.094999999</v>
      </c>
      <c r="D216" s="33">
        <f>'Energy Data &amp; SFC Calc (2)'!J207</f>
        <v>1560.8103443990324</v>
      </c>
      <c r="E216" s="34">
        <f t="shared" si="9"/>
        <v>4.450354932746392E-2</v>
      </c>
      <c r="F216" s="34">
        <f t="shared" si="10"/>
        <v>3.6284354126151941E-2</v>
      </c>
      <c r="G216" s="34">
        <f t="shared" si="11"/>
        <v>-9.8305949447178298E-3</v>
      </c>
    </row>
    <row r="217" spans="1:7">
      <c r="A217" s="31">
        <f>'Energy Data &amp; SFC Calc (2)'!C208</f>
        <v>46105</v>
      </c>
      <c r="B217" s="32">
        <f>'Energy Data &amp; SFC Calc (2)'!K208</f>
        <v>58.753999999999998</v>
      </c>
      <c r="C217" s="33">
        <f>'Energy Data &amp; SFC Calc (2)'!H208</f>
        <v>92715404.925999999</v>
      </c>
      <c r="D217" s="33">
        <f>'Energy Data &amp; SFC Calc (2)'!J208</f>
        <v>1578.0271117881337</v>
      </c>
      <c r="E217" s="34">
        <f t="shared" si="9"/>
        <v>2.3751130823018052E-2</v>
      </c>
      <c r="F217" s="34">
        <f t="shared" si="10"/>
        <v>2.6899024604925659E-2</v>
      </c>
      <c r="G217" s="34">
        <f t="shared" si="11"/>
        <v>1.0916265691365279E-3</v>
      </c>
    </row>
    <row r="218" spans="1:7">
      <c r="A218" s="31">
        <f>'Energy Data &amp; SFC Calc (2)'!C209</f>
        <v>46106</v>
      </c>
      <c r="B218" s="32">
        <f>'Energy Data &amp; SFC Calc (2)'!K209</f>
        <v>57.18</v>
      </c>
      <c r="C218" s="33">
        <f>'Energy Data &amp; SFC Calc (2)'!H209</f>
        <v>90206118.627000004</v>
      </c>
      <c r="D218" s="33">
        <f>'Energy Data &amp; SFC Calc (2)'!J209</f>
        <v>1577.5816479013642</v>
      </c>
      <c r="E218" s="34">
        <f t="shared" si="9"/>
        <v>-3.6748194087181663E-3</v>
      </c>
      <c r="F218" s="34">
        <f t="shared" si="10"/>
        <v>-8.9337575134984526E-4</v>
      </c>
      <c r="G218" s="34">
        <f t="shared" si="11"/>
        <v>8.0902675595684315E-4</v>
      </c>
    </row>
    <row r="219" spans="1:7">
      <c r="A219" s="31">
        <f>'Energy Data &amp; SFC Calc (2)'!C210</f>
        <v>46107</v>
      </c>
      <c r="B219" s="32">
        <f>'Energy Data &amp; SFC Calc (2)'!K210</f>
        <v>51.341000000000001</v>
      </c>
      <c r="C219" s="33">
        <f>'Energy Data &amp; SFC Calc (2)'!H210</f>
        <v>87293426.75</v>
      </c>
      <c r="D219" s="33">
        <f>'Energy Data &amp; SFC Calc (2)'!J210</f>
        <v>1700.2673642897489</v>
      </c>
      <c r="E219" s="34">
        <f t="shared" si="9"/>
        <v>-0.10541568561145498</v>
      </c>
      <c r="F219" s="34">
        <f t="shared" si="10"/>
        <v>-3.3153823191052756E-2</v>
      </c>
      <c r="G219" s="34">
        <f t="shared" si="11"/>
        <v>7.8640163153147924E-2</v>
      </c>
    </row>
    <row r="220" spans="1:7">
      <c r="A220" s="31">
        <f>'Energy Data &amp; SFC Calc (2)'!C211</f>
        <v>46108</v>
      </c>
      <c r="B220" s="32">
        <f>'Energy Data &amp; SFC Calc (2)'!K211</f>
        <v>53.055999999999997</v>
      </c>
      <c r="C220" s="33">
        <f>'Energy Data &amp; SFC Calc (2)'!H211</f>
        <v>88165643.736999989</v>
      </c>
      <c r="D220" s="33">
        <f>'Energy Data &amp; SFC Calc (2)'!J211</f>
        <v>1661.7469039693906</v>
      </c>
      <c r="E220" s="34">
        <f t="shared" si="9"/>
        <v>-7.5532899939645848E-2</v>
      </c>
      <c r="F220" s="34">
        <f t="shared" si="10"/>
        <v>-2.3493305891807648E-2</v>
      </c>
      <c r="G220" s="34">
        <f t="shared" si="11"/>
        <v>5.420299728303668E-2</v>
      </c>
    </row>
    <row r="221" spans="1:7">
      <c r="A221" s="31">
        <f>'Energy Data &amp; SFC Calc (2)'!C212</f>
        <v>46109</v>
      </c>
      <c r="B221" s="32">
        <f>'Energy Data &amp; SFC Calc (2)'!K212</f>
        <v>53.445999999999998</v>
      </c>
      <c r="C221" s="33">
        <f>'Energy Data &amp; SFC Calc (2)'!H212</f>
        <v>89120414.700000003</v>
      </c>
      <c r="D221" s="33">
        <f>'Energy Data &amp; SFC Calc (2)'!J212</f>
        <v>1667.4852131123002</v>
      </c>
      <c r="E221" s="34">
        <f t="shared" si="9"/>
        <v>-6.8737397658593102E-2</v>
      </c>
      <c r="F221" s="34">
        <f t="shared" si="10"/>
        <v>-1.2918435713455301E-2</v>
      </c>
      <c r="G221" s="34">
        <f t="shared" si="11"/>
        <v>5.7843348700777897E-2</v>
      </c>
    </row>
    <row r="222" spans="1:7">
      <c r="A222" s="31">
        <f>'Energy Data &amp; SFC Calc (2)'!C213</f>
        <v>46110</v>
      </c>
      <c r="B222" s="32">
        <f>'Energy Data &amp; SFC Calc (2)'!K213</f>
        <v>58.381999999999998</v>
      </c>
      <c r="C222" s="33">
        <f>'Energy Data &amp; SFC Calc (2)'!H213</f>
        <v>91420564.612000003</v>
      </c>
      <c r="D222" s="33">
        <f>'Energy Data &amp; SFC Calc (2)'!J213</f>
        <v>1565.9032683361311</v>
      </c>
      <c r="E222" s="34">
        <f t="shared" si="9"/>
        <v>1.7269267108783071E-2</v>
      </c>
      <c r="F222" s="34">
        <f t="shared" si="10"/>
        <v>1.2557607916652724E-2</v>
      </c>
      <c r="G222" s="34">
        <f t="shared" si="11"/>
        <v>-6.5996723134800206E-3</v>
      </c>
    </row>
    <row r="223" spans="1:7">
      <c r="A223" s="31">
        <f>'Energy Data &amp; SFC Calc (2)'!C214</f>
        <v>46111</v>
      </c>
      <c r="B223" s="32">
        <f>'Energy Data &amp; SFC Calc (2)'!K214</f>
        <v>57.686</v>
      </c>
      <c r="C223" s="33">
        <f>'Energy Data &amp; SFC Calc (2)'!H214</f>
        <v>91726346.316</v>
      </c>
      <c r="D223" s="33">
        <f>'Energy Data &amp; SFC Calc (2)'!J214</f>
        <v>1590.0971867697535</v>
      </c>
      <c r="E223" s="34">
        <f t="shared" si="9"/>
        <v>5.1419091918272208E-3</v>
      </c>
      <c r="F223" s="34">
        <f t="shared" si="10"/>
        <v>1.5944390661442931E-2</v>
      </c>
      <c r="G223" s="34">
        <f t="shared" si="11"/>
        <v>8.7488150330718994E-3</v>
      </c>
    </row>
    <row r="224" spans="1:7">
      <c r="A224" s="31">
        <f>'Energy Data &amp; SFC Calc (2)'!C215</f>
        <v>46112</v>
      </c>
      <c r="B224" s="32">
        <f>'Energy Data &amp; SFC Calc (2)'!K215</f>
        <v>56.61</v>
      </c>
      <c r="C224" s="33">
        <f>'Energy Data &amp; SFC Calc (2)'!H215</f>
        <v>92187623</v>
      </c>
      <c r="D224" s="33">
        <f>'Energy Data &amp; SFC Calc (2)'!J215</f>
        <v>1628.4688747571101</v>
      </c>
      <c r="E224" s="34">
        <f t="shared" si="9"/>
        <v>-1.3606707357949221E-2</v>
      </c>
      <c r="F224" s="34">
        <f t="shared" si="10"/>
        <v>2.1053407628479626E-2</v>
      </c>
      <c r="G224" s="34">
        <f t="shared" si="11"/>
        <v>3.3091600562236811E-2</v>
      </c>
    </row>
    <row r="225" spans="1:7">
      <c r="A225" s="31">
        <f>'Energy Data &amp; SFC Calc (2)'!C216</f>
        <v>46113</v>
      </c>
      <c r="B225" s="32">
        <f>'Energy Data &amp; SFC Calc (2)'!K216</f>
        <v>56.317</v>
      </c>
      <c r="C225" s="33">
        <f>'Energy Data &amp; SFC Calc (2)'!H216</f>
        <v>91400349.844999999</v>
      </c>
      <c r="D225" s="33">
        <f>'Energy Data &amp; SFC Calc (2)'!J216</f>
        <v>1622.9619803078999</v>
      </c>
      <c r="E225" s="34">
        <f t="shared" si="9"/>
        <v>-1.8712046251150416E-2</v>
      </c>
      <c r="F225" s="34">
        <f t="shared" si="10"/>
        <v>1.233371282034712E-2</v>
      </c>
      <c r="G225" s="34">
        <f t="shared" si="11"/>
        <v>2.9598057339612849E-2</v>
      </c>
    </row>
    <row r="226" spans="1:7">
      <c r="A226" s="31">
        <f>'Energy Data &amp; SFC Calc (2)'!C217</f>
        <v>46114</v>
      </c>
      <c r="B226" s="32">
        <f>'Energy Data &amp; SFC Calc (2)'!K217</f>
        <v>56.911000000000001</v>
      </c>
      <c r="C226" s="33">
        <f>'Energy Data &amp; SFC Calc (2)'!H217</f>
        <v>90897640.649999991</v>
      </c>
      <c r="D226" s="33">
        <f>'Energy Data &amp; SFC Calc (2)'!J217</f>
        <v>1597.1893069881041</v>
      </c>
      <c r="E226" s="34">
        <f t="shared" si="9"/>
        <v>-8.3619735461621936E-3</v>
      </c>
      <c r="F226" s="34">
        <f t="shared" si="10"/>
        <v>6.7657968691903214E-3</v>
      </c>
      <c r="G226" s="34">
        <f t="shared" si="11"/>
        <v>1.3248016670467821E-2</v>
      </c>
    </row>
    <row r="227" spans="1:7">
      <c r="A227" s="31">
        <f>'Energy Data &amp; SFC Calc (2)'!C218</f>
        <v>46115</v>
      </c>
      <c r="B227" s="32">
        <f>'Energy Data &amp; SFC Calc (2)'!K218</f>
        <v>55.947000000000003</v>
      </c>
      <c r="C227" s="33">
        <f>'Energy Data &amp; SFC Calc (2)'!H218</f>
        <v>90268622.934</v>
      </c>
      <c r="D227" s="33">
        <f>'Energy Data &amp; SFC Calc (2)'!J218</f>
        <v>1613.4667262587807</v>
      </c>
      <c r="E227" s="34">
        <f t="shared" si="9"/>
        <v>-2.5159061235738966E-2</v>
      </c>
      <c r="F227" s="34">
        <f t="shared" si="10"/>
        <v>-2.0108937301677177E-4</v>
      </c>
      <c r="G227" s="34">
        <f t="shared" si="11"/>
        <v>2.3574320960363604E-2</v>
      </c>
    </row>
    <row r="228" spans="1:7">
      <c r="A228" s="31">
        <f>'Energy Data &amp; SFC Calc (2)'!C219</f>
        <v>46116</v>
      </c>
      <c r="B228" s="32">
        <f>'Energy Data &amp; SFC Calc (2)'!K219</f>
        <v>56.454999999999998</v>
      </c>
      <c r="C228" s="33">
        <f>'Energy Data &amp; SFC Calc (2)'!H219</f>
        <v>90645969.182000011</v>
      </c>
      <c r="D228" s="33">
        <f>'Energy Data &amp; SFC Calc (2)'!J219</f>
        <v>1605.6322590027457</v>
      </c>
      <c r="E228" s="34">
        <f t="shared" si="9"/>
        <v>-1.6307483905547149E-2</v>
      </c>
      <c r="F228" s="34">
        <f t="shared" si="10"/>
        <v>3.9783292933721626E-3</v>
      </c>
      <c r="G228" s="34">
        <f t="shared" si="11"/>
        <v>1.8604178489389556E-2</v>
      </c>
    </row>
    <row r="229" spans="1:7">
      <c r="A229" s="31">
        <f>'Energy Data &amp; SFC Calc (2)'!C220</f>
        <v>46117</v>
      </c>
      <c r="B229" s="32">
        <f>'Energy Data &amp; SFC Calc (2)'!K220</f>
        <v>60.841999999999999</v>
      </c>
      <c r="C229" s="33">
        <f>'Energy Data &amp; SFC Calc (2)'!H220</f>
        <v>93191343.386999995</v>
      </c>
      <c r="D229" s="33">
        <f>'Energy Data &amp; SFC Calc (2)'!J220</f>
        <v>1531.6942800532527</v>
      </c>
      <c r="E229" s="34">
        <f t="shared" si="9"/>
        <v>6.0133204573885379E-2</v>
      </c>
      <c r="F229" s="34">
        <f t="shared" si="10"/>
        <v>3.2170432757248957E-2</v>
      </c>
      <c r="G229" s="34">
        <f t="shared" si="11"/>
        <v>-2.830166429293679E-2</v>
      </c>
    </row>
    <row r="230" spans="1:7">
      <c r="A230" s="31">
        <f>'Energy Data &amp; SFC Calc (2)'!C221</f>
        <v>46118</v>
      </c>
      <c r="B230" s="32">
        <f>'Energy Data &amp; SFC Calc (2)'!K221</f>
        <v>60.014000000000003</v>
      </c>
      <c r="C230" s="33">
        <f>'Energy Data &amp; SFC Calc (2)'!H221</f>
        <v>92810285.870000005</v>
      </c>
      <c r="D230" s="33">
        <f>'Energy Data &amp; SFC Calc (2)'!J221</f>
        <v>1546.477253140934</v>
      </c>
      <c r="E230" s="34">
        <f t="shared" si="9"/>
        <v>4.5705830500265776E-2</v>
      </c>
      <c r="F230" s="34">
        <f t="shared" si="10"/>
        <v>2.7949908747911145E-2</v>
      </c>
      <c r="G230" s="34">
        <f t="shared" si="11"/>
        <v>-1.8923428353057936E-2</v>
      </c>
    </row>
    <row r="231" spans="1:7">
      <c r="A231" s="31">
        <f>'Energy Data &amp; SFC Calc (2)'!C222</f>
        <v>46119</v>
      </c>
      <c r="B231" s="32">
        <f>'Energy Data &amp; SFC Calc (2)'!K222</f>
        <v>59.616</v>
      </c>
      <c r="C231" s="33">
        <f>'Energy Data &amp; SFC Calc (2)'!H222</f>
        <v>92441035.094999999</v>
      </c>
      <c r="D231" s="33">
        <f>'Energy Data &amp; SFC Calc (2)'!J222</f>
        <v>1550.6078082226247</v>
      </c>
      <c r="E231" s="34">
        <f t="shared" si="9"/>
        <v>3.8770933300627197E-2</v>
      </c>
      <c r="F231" s="34">
        <f t="shared" si="10"/>
        <v>2.3860154073542139E-2</v>
      </c>
      <c r="G231" s="34">
        <f t="shared" si="11"/>
        <v>-1.630302717333576E-2</v>
      </c>
    </row>
    <row r="232" spans="1:7">
      <c r="A232" s="31">
        <f>'Energy Data &amp; SFC Calc (2)'!C223</f>
        <v>46120</v>
      </c>
      <c r="B232" s="32">
        <f>'Energy Data &amp; SFC Calc (2)'!K223</f>
        <v>58.45</v>
      </c>
      <c r="C232" s="33">
        <f>'Energy Data &amp; SFC Calc (2)'!H223</f>
        <v>93546792.567000002</v>
      </c>
      <c r="D232" s="33">
        <f>'Energy Data &amp; SFC Calc (2)'!J223</f>
        <v>1600.4583843798118</v>
      </c>
      <c r="E232" s="34">
        <f t="shared" si="9"/>
        <v>1.8454123916761489E-2</v>
      </c>
      <c r="F232" s="34">
        <f t="shared" si="10"/>
        <v>3.6107323466295194E-2</v>
      </c>
      <c r="G232" s="34">
        <f t="shared" si="11"/>
        <v>1.5321901193108722E-2</v>
      </c>
    </row>
    <row r="233" spans="1:7">
      <c r="A233" s="31">
        <f>'Energy Data &amp; SFC Calc (2)'!C224</f>
        <v>46121</v>
      </c>
      <c r="B233" s="32">
        <f>'Energy Data &amp; SFC Calc (2)'!K224</f>
        <v>59.673999999999999</v>
      </c>
      <c r="C233" s="33">
        <f>'Energy Data &amp; SFC Calc (2)'!H224</f>
        <v>93355024.319999993</v>
      </c>
      <c r="D233" s="33">
        <f>'Energy Data &amp; SFC Calc (2)'!J224</f>
        <v>1564.4170714213894</v>
      </c>
      <c r="E233" s="34">
        <f t="shared" si="9"/>
        <v>3.9781546460373463E-2</v>
      </c>
      <c r="F233" s="34">
        <f t="shared" si="10"/>
        <v>3.3983333111599734E-2</v>
      </c>
      <c r="G233" s="34">
        <f t="shared" si="11"/>
        <v>-7.5425073735791992E-3</v>
      </c>
    </row>
    <row r="234" spans="1:7">
      <c r="A234" s="31">
        <f>'Energy Data &amp; SFC Calc (2)'!C225</f>
        <v>46122</v>
      </c>
      <c r="B234" s="32">
        <f>'Energy Data &amp; SFC Calc (2)'!K225</f>
        <v>59.305999999999997</v>
      </c>
      <c r="C234" s="33">
        <f>'Energy Data &amp; SFC Calc (2)'!H225</f>
        <v>92101961.048000008</v>
      </c>
      <c r="D234" s="33">
        <f>'Energy Data &amp; SFC Calc (2)'!J225</f>
        <v>1552.9956673523759</v>
      </c>
      <c r="E234" s="34">
        <f t="shared" si="9"/>
        <v>3.3369380205431343E-2</v>
      </c>
      <c r="F234" s="34">
        <f t="shared" si="10"/>
        <v>2.0104631370372772E-2</v>
      </c>
      <c r="G234" s="34">
        <f t="shared" si="11"/>
        <v>-1.4788182616887191E-2</v>
      </c>
    </row>
    <row r="235" spans="1:7">
      <c r="A235" s="31">
        <f>'Energy Data &amp; SFC Calc (2)'!C226</f>
        <v>46123</v>
      </c>
      <c r="B235" s="32">
        <f>'Energy Data &amp; SFC Calc (2)'!K226</f>
        <v>60.444000000000003</v>
      </c>
      <c r="C235" s="33">
        <f>'Energy Data &amp; SFC Calc (2)'!H226</f>
        <v>92827552.295000002</v>
      </c>
      <c r="D235" s="33">
        <f>'Energy Data &amp; SFC Calc (2)'!J226</f>
        <v>1535.7612384190325</v>
      </c>
      <c r="E235" s="34">
        <f t="shared" si="9"/>
        <v>5.3198307374247022E-2</v>
      </c>
      <c r="F235" s="34">
        <f t="shared" si="10"/>
        <v>2.8141148542474514E-2</v>
      </c>
      <c r="G235" s="34">
        <f t="shared" si="11"/>
        <v>-2.5721608516218186E-2</v>
      </c>
    </row>
    <row r="236" spans="1:7">
      <c r="A236" s="31">
        <f>'Energy Data &amp; SFC Calc (2)'!C227</f>
        <v>46124</v>
      </c>
      <c r="B236" s="32">
        <f>'Energy Data &amp; SFC Calc (2)'!K227</f>
        <v>61.149000000000001</v>
      </c>
      <c r="C236" s="33">
        <f>'Energy Data &amp; SFC Calc (2)'!H227</f>
        <v>92562699.376000002</v>
      </c>
      <c r="D236" s="33">
        <f>'Energy Data &amp; SFC Calc (2)'!J227</f>
        <v>1513.7238446417766</v>
      </c>
      <c r="E236" s="34">
        <f t="shared" si="9"/>
        <v>6.5482484574611588E-2</v>
      </c>
      <c r="F236" s="34">
        <f t="shared" si="10"/>
        <v>2.5207685603905183E-2</v>
      </c>
      <c r="G236" s="34">
        <f t="shared" si="11"/>
        <v>-3.9702008610116968E-2</v>
      </c>
    </row>
    <row r="237" spans="1:7">
      <c r="A237" s="31">
        <f>'Energy Data &amp; SFC Calc (2)'!C228</f>
        <v>46125</v>
      </c>
      <c r="B237" s="32">
        <f>'Energy Data &amp; SFC Calc (2)'!K228</f>
        <v>61.488</v>
      </c>
      <c r="C237" s="33">
        <f>'Energy Data &amp; SFC Calc (2)'!H228</f>
        <v>93141116.424999997</v>
      </c>
      <c r="D237" s="33">
        <f>'Energy Data &amp; SFC Calc (2)'!J228</f>
        <v>1514.7852658242259</v>
      </c>
      <c r="E237" s="34">
        <f t="shared" si="9"/>
        <v>7.1389344249680686E-2</v>
      </c>
      <c r="F237" s="34">
        <f t="shared" si="10"/>
        <v>3.1614128027438015E-2</v>
      </c>
      <c r="G237" s="34">
        <f t="shared" si="11"/>
        <v>-3.9028648913014496E-2</v>
      </c>
    </row>
    <row r="238" spans="1:7">
      <c r="A238" s="31">
        <f>'Energy Data &amp; SFC Calc (2)'!C229</f>
        <v>46126</v>
      </c>
      <c r="B238" s="32">
        <f>'Energy Data &amp; SFC Calc (2)'!K229</f>
        <v>60.118000000000002</v>
      </c>
      <c r="C238" s="33">
        <f>'Energy Data &amp; SFC Calc (2)'!H229</f>
        <v>94199520.287999988</v>
      </c>
      <c r="D238" s="33">
        <f>'Energy Data &amp; SFC Calc (2)'!J229</f>
        <v>1566.9104143185068</v>
      </c>
      <c r="E238" s="34">
        <f t="shared" si="9"/>
        <v>4.7517964441879723E-2</v>
      </c>
      <c r="F238" s="34">
        <f t="shared" si="10"/>
        <v>4.3336817427546359E-2</v>
      </c>
      <c r="G238" s="34">
        <f t="shared" si="11"/>
        <v>-5.9607445015575911E-3</v>
      </c>
    </row>
    <row r="239" spans="1:7">
      <c r="A239" s="31">
        <f>'Energy Data &amp; SFC Calc (2)'!C230</f>
        <v>46127</v>
      </c>
      <c r="B239" s="32">
        <f>'Energy Data &amp; SFC Calc (2)'!K230</f>
        <v>57.31</v>
      </c>
      <c r="C239" s="33">
        <f>'Energy Data &amp; SFC Calc (2)'!H230</f>
        <v>92782150.403999999</v>
      </c>
      <c r="D239" s="33">
        <f>'Energy Data &amp; SFC Calc (2)'!J230</f>
        <v>1618.9521968940849</v>
      </c>
      <c r="E239" s="34">
        <f t="shared" si="9"/>
        <v>-1.4096519817005104E-3</v>
      </c>
      <c r="F239" s="34">
        <f t="shared" si="10"/>
        <v>2.7638285424739895E-2</v>
      </c>
      <c r="G239" s="34">
        <f t="shared" si="11"/>
        <v>2.7054273034552656E-2</v>
      </c>
    </row>
    <row r="240" spans="1:7">
      <c r="A240" s="31">
        <f>'Energy Data &amp; SFC Calc (2)'!C231</f>
        <v>46128</v>
      </c>
      <c r="B240" s="32">
        <f>'Energy Data &amp; SFC Calc (2)'!K231</f>
        <v>54.814999999999998</v>
      </c>
      <c r="C240" s="33">
        <f>'Energy Data &amp; SFC Calc (2)'!H231</f>
        <v>90389914.054000005</v>
      </c>
      <c r="D240" s="33">
        <f>'Energy Data &amp; SFC Calc (2)'!J231</f>
        <v>1648.9996178783181</v>
      </c>
      <c r="E240" s="34">
        <f t="shared" si="9"/>
        <v>-4.4883442215615355E-2</v>
      </c>
      <c r="F240" s="34">
        <f t="shared" si="10"/>
        <v>1.1423090937283664E-3</v>
      </c>
      <c r="G240" s="34">
        <f t="shared" si="11"/>
        <v>4.6116189856265866E-2</v>
      </c>
    </row>
    <row r="241" spans="1:7">
      <c r="A241" s="31">
        <f>'Energy Data &amp; SFC Calc (2)'!C232</f>
        <v>46129</v>
      </c>
      <c r="B241" s="32">
        <f>'Energy Data &amp; SFC Calc (2)'!K232</f>
        <v>56.567999999999998</v>
      </c>
      <c r="C241" s="33">
        <f>'Energy Data &amp; SFC Calc (2)'!H232</f>
        <v>90746938.211999997</v>
      </c>
      <c r="D241" s="33">
        <f>'Energy Data &amp; SFC Calc (2)'!J232</f>
        <v>1604.2097689859991</v>
      </c>
      <c r="E241" s="34">
        <f t="shared" si="9"/>
        <v>-1.4338530680524153E-2</v>
      </c>
      <c r="F241" s="34">
        <f t="shared" si="10"/>
        <v>5.0966439737107905E-3</v>
      </c>
      <c r="G241" s="34">
        <f t="shared" si="11"/>
        <v>1.7701758731195616E-2</v>
      </c>
    </row>
    <row r="242" spans="1:7">
      <c r="A242" s="31">
        <f>'Energy Data &amp; SFC Calc (2)'!C233</f>
        <v>46130</v>
      </c>
      <c r="B242" s="32">
        <f>'Energy Data &amp; SFC Calc (2)'!K233</f>
        <v>61.859000000000002</v>
      </c>
      <c r="C242" s="33">
        <f>'Energy Data &amp; SFC Calc (2)'!H233</f>
        <v>93805002.944000006</v>
      </c>
      <c r="D242" s="33">
        <f>'Energy Data &amp; SFC Calc (2)'!J233</f>
        <v>1516.4325796407961</v>
      </c>
      <c r="E242" s="34">
        <f t="shared" si="9"/>
        <v>7.7853783599092452E-2</v>
      </c>
      <c r="F242" s="34">
        <f t="shared" si="10"/>
        <v>3.8967214813324436E-2</v>
      </c>
      <c r="G242" s="34">
        <f t="shared" si="11"/>
        <v>-3.7983602186135834E-2</v>
      </c>
    </row>
    <row r="243" spans="1:7">
      <c r="A243" s="31">
        <f>'Energy Data &amp; SFC Calc (2)'!C234</f>
        <v>46131</v>
      </c>
      <c r="B243" s="32">
        <f>'Energy Data &amp; SFC Calc (2)'!K234</f>
        <v>61.185000000000002</v>
      </c>
      <c r="C243" s="33">
        <f>'Energy Data &amp; SFC Calc (2)'!H234</f>
        <v>93989042.568000004</v>
      </c>
      <c r="D243" s="33">
        <f>'Energy Data &amp; SFC Calc (2)'!J234</f>
        <v>1536.1451755822507</v>
      </c>
      <c r="E243" s="34">
        <f t="shared" si="9"/>
        <v>6.6109761708247339E-2</v>
      </c>
      <c r="F243" s="34">
        <f t="shared" si="10"/>
        <v>4.1005604340125235E-2</v>
      </c>
      <c r="G243" s="34">
        <f t="shared" si="11"/>
        <v>-2.5478040914397426E-2</v>
      </c>
    </row>
    <row r="244" spans="1:7">
      <c r="A244" s="31">
        <f>'Energy Data &amp; SFC Calc (2)'!C235</f>
        <v>46132</v>
      </c>
      <c r="B244" s="32">
        <f>'Energy Data &amp; SFC Calc (2)'!K235</f>
        <v>57.289000000000001</v>
      </c>
      <c r="C244" s="33">
        <f>'Energy Data &amp; SFC Calc (2)'!H235</f>
        <v>92380112.159999996</v>
      </c>
      <c r="D244" s="33">
        <f>'Energy Data &amp; SFC Calc (2)'!J235</f>
        <v>1612.5279226378536</v>
      </c>
      <c r="E244" s="34">
        <f t="shared" si="9"/>
        <v>-1.7755636429879207E-3</v>
      </c>
      <c r="F244" s="34">
        <f t="shared" si="10"/>
        <v>2.3185382684930866E-2</v>
      </c>
      <c r="G244" s="34">
        <f t="shared" si="11"/>
        <v>2.2978749162590129E-2</v>
      </c>
    </row>
    <row r="245" spans="1:7">
      <c r="A245" s="31">
        <f>'Energy Data &amp; SFC Calc (2)'!C236</f>
        <v>46133</v>
      </c>
      <c r="B245" s="32">
        <f>'Energy Data &amp; SFC Calc (2)'!K236</f>
        <v>57.332000000000001</v>
      </c>
      <c r="C245" s="33">
        <f>'Energy Data &amp; SFC Calc (2)'!H236</f>
        <v>91444328.868000001</v>
      </c>
      <c r="D245" s="33">
        <f>'Energy Data &amp; SFC Calc (2)'!J236</f>
        <v>1594.996317379474</v>
      </c>
      <c r="E245" s="34">
        <f t="shared" si="9"/>
        <v>-1.0263159555898849E-3</v>
      </c>
      <c r="F245" s="34">
        <f t="shared" si="10"/>
        <v>1.2820816509942379E-2</v>
      </c>
      <c r="G245" s="34">
        <f t="shared" si="11"/>
        <v>1.1856796254828161E-2</v>
      </c>
    </row>
    <row r="246" spans="1:7">
      <c r="A246" s="31">
        <f>'Energy Data &amp; SFC Calc (2)'!C237</f>
        <v>46134</v>
      </c>
      <c r="B246" s="32">
        <f>'Energy Data &amp; SFC Calc (2)'!K237</f>
        <v>58.133000000000003</v>
      </c>
      <c r="C246" s="33">
        <f>'Energy Data &amp; SFC Calc (2)'!H237</f>
        <v>93164060.49499999</v>
      </c>
      <c r="D246" s="33">
        <f>'Energy Data &amp; SFC Calc (2)'!J237</f>
        <v>1602.6019729757622</v>
      </c>
      <c r="E246" s="34">
        <f t="shared" si="9"/>
        <v>1.2930600267803349E-2</v>
      </c>
      <c r="F246" s="34">
        <f t="shared" si="10"/>
        <v>3.1868252389212204E-2</v>
      </c>
      <c r="G246" s="34">
        <f t="shared" si="11"/>
        <v>1.6681781880952817E-2</v>
      </c>
    </row>
    <row r="247" spans="1:7">
      <c r="A247" s="31">
        <f>'Energy Data &amp; SFC Calc (2)'!C238</f>
        <v>46135</v>
      </c>
      <c r="B247" s="32">
        <f>'Energy Data &amp; SFC Calc (2)'!K238</f>
        <v>56.703000000000003</v>
      </c>
      <c r="C247" s="33">
        <f>'Energy Data &amp; SFC Calc (2)'!H238</f>
        <v>92276607.122000009</v>
      </c>
      <c r="D247" s="33">
        <f>'Energy Data &amp; SFC Calc (2)'!J238</f>
        <v>1627.3672843059451</v>
      </c>
      <c r="E247" s="34">
        <f t="shared" si="9"/>
        <v>-1.1986241429390421E-2</v>
      </c>
      <c r="F247" s="34">
        <f t="shared" si="10"/>
        <v>2.2038979639517731E-2</v>
      </c>
      <c r="G247" s="34">
        <f t="shared" si="11"/>
        <v>3.2392757704384989E-2</v>
      </c>
    </row>
    <row r="248" spans="1:7">
      <c r="A248" s="31">
        <f>'Energy Data &amp; SFC Calc (2)'!C239</f>
        <v>46136</v>
      </c>
      <c r="B248" s="32">
        <f>'Energy Data &amp; SFC Calc (2)'!K239</f>
        <v>58.393000000000001</v>
      </c>
      <c r="C248" s="33">
        <f>'Energy Data &amp; SFC Calc (2)'!H239</f>
        <v>91273245.283999994</v>
      </c>
      <c r="D248" s="33">
        <f>'Energy Data &amp; SFC Calc (2)'!J239</f>
        <v>1563.085391810662</v>
      </c>
      <c r="E248" s="34">
        <f t="shared" si="9"/>
        <v>1.7460935121838439E-2</v>
      </c>
      <c r="F248" s="34">
        <f t="shared" si="10"/>
        <v>1.0925925734501796E-2</v>
      </c>
      <c r="G248" s="34">
        <f t="shared" si="11"/>
        <v>-8.3873175150610546E-3</v>
      </c>
    </row>
    <row r="249" spans="1:7">
      <c r="A249" s="31">
        <f>'Energy Data &amp; SFC Calc (2)'!C240</f>
        <v>46137</v>
      </c>
      <c r="B249" s="32">
        <f>'Energy Data &amp; SFC Calc (2)'!K240</f>
        <v>58.128</v>
      </c>
      <c r="C249" s="33">
        <f>'Energy Data &amp; SFC Calc (2)'!H240</f>
        <v>91220876.810000002</v>
      </c>
      <c r="D249" s="33">
        <f>'Energy Data &amp; SFC Calc (2)'!J240</f>
        <v>1569.3104323217726</v>
      </c>
      <c r="E249" s="34">
        <f t="shared" si="9"/>
        <v>1.2843478443687051E-2</v>
      </c>
      <c r="F249" s="34">
        <f t="shared" si="10"/>
        <v>1.03459020058283E-2</v>
      </c>
      <c r="G249" s="34">
        <f t="shared" si="11"/>
        <v>-4.4381864233493662E-3</v>
      </c>
    </row>
    <row r="250" spans="1:7">
      <c r="A250" s="31">
        <f>'Energy Data &amp; SFC Calc (2)'!C241</f>
        <v>46138</v>
      </c>
      <c r="B250" s="32">
        <f>'Energy Data &amp; SFC Calc (2)'!K241</f>
        <v>50.893000000000001</v>
      </c>
      <c r="C250" s="33">
        <f>'Energy Data &amp; SFC Calc (2)'!H241</f>
        <v>86363229.028999999</v>
      </c>
      <c r="D250" s="33">
        <f>'Energy Data &amp; SFC Calc (2)'!J241</f>
        <v>1696.9569298135302</v>
      </c>
      <c r="E250" s="34">
        <f t="shared" si="9"/>
        <v>-0.1132218010522541</v>
      </c>
      <c r="F250" s="34">
        <f t="shared" si="10"/>
        <v>-4.3456524593770363E-2</v>
      </c>
      <c r="G250" s="34">
        <f t="shared" si="11"/>
        <v>7.654004192602093E-2</v>
      </c>
    </row>
    <row r="251" spans="1:7">
      <c r="A251" s="31">
        <f>'Energy Data &amp; SFC Calc (2)'!C242</f>
        <v>46139</v>
      </c>
      <c r="B251" s="32">
        <f>'Energy Data &amp; SFC Calc (2)'!K242</f>
        <v>53.069000000000003</v>
      </c>
      <c r="C251" s="33">
        <f>'Energy Data &amp; SFC Calc (2)'!H242</f>
        <v>87158676.983999997</v>
      </c>
      <c r="D251" s="33">
        <f>'Energy Data &amp; SFC Calc (2)'!J242</f>
        <v>1642.3651658030112</v>
      </c>
      <c r="E251" s="34">
        <f t="shared" si="9"/>
        <v>-7.5306383196944049E-2</v>
      </c>
      <c r="F251" s="34">
        <f t="shared" si="10"/>
        <v>-3.4646287182140245E-2</v>
      </c>
      <c r="G251" s="34">
        <f t="shared" si="11"/>
        <v>4.1907330344379545E-2</v>
      </c>
    </row>
    <row r="252" spans="1:7">
      <c r="A252" s="31">
        <f>'Energy Data &amp; SFC Calc (2)'!C243</f>
        <v>46140</v>
      </c>
      <c r="B252" s="32">
        <f>'Energy Data &amp; SFC Calc (2)'!K243</f>
        <v>56.030999999999999</v>
      </c>
      <c r="C252" s="33">
        <f>'Energy Data &amp; SFC Calc (2)'!H243</f>
        <v>89549852.084000006</v>
      </c>
      <c r="D252" s="33">
        <f>'Energy Data &amp; SFC Calc (2)'!J243</f>
        <v>1598.219772697257</v>
      </c>
      <c r="E252" s="34">
        <f t="shared" si="9"/>
        <v>-2.3695414590589103E-2</v>
      </c>
      <c r="F252" s="34">
        <f t="shared" si="10"/>
        <v>-8.1620650638263292E-3</v>
      </c>
      <c r="G252" s="34">
        <f t="shared" si="11"/>
        <v>1.3901738387410045E-2</v>
      </c>
    </row>
    <row r="253" spans="1:7">
      <c r="A253" s="31">
        <f>'Energy Data &amp; SFC Calc (2)'!C244</f>
        <v>46141</v>
      </c>
      <c r="B253" s="32">
        <f>'Energy Data &amp; SFC Calc (2)'!K244</f>
        <v>54.811</v>
      </c>
      <c r="C253" s="33">
        <f>'Energy Data &amp; SFC Calc (2)'!H244</f>
        <v>89117518.552000001</v>
      </c>
      <c r="D253" s="33">
        <f>'Energy Data &amp; SFC Calc (2)'!J244</f>
        <v>1625.9057224279798</v>
      </c>
      <c r="E253" s="34">
        <f t="shared" si="9"/>
        <v>-4.4953139674908216E-2</v>
      </c>
      <c r="F253" s="34">
        <f t="shared" si="10"/>
        <v>-1.295051292391125E-2</v>
      </c>
      <c r="G253" s="34">
        <f t="shared" si="11"/>
        <v>3.1465550974656642E-2</v>
      </c>
    </row>
    <row r="254" spans="1:7">
      <c r="A254" s="31">
        <f>'Energy Data &amp; SFC Calc (2)'!C245</f>
        <v>46142</v>
      </c>
      <c r="B254" s="32">
        <f>'Energy Data &amp; SFC Calc (2)'!K245</f>
        <v>55.468000000000004</v>
      </c>
      <c r="C254" s="33">
        <f>'Energy Data &amp; SFC Calc (2)'!H245</f>
        <v>90313030.983999997</v>
      </c>
      <c r="D254" s="33">
        <f>'Energy Data &amp; SFC Calc (2)'!J245</f>
        <v>1628.2006018605321</v>
      </c>
      <c r="E254" s="34">
        <f t="shared" si="9"/>
        <v>-3.3505331986057652E-2</v>
      </c>
      <c r="F254" s="34">
        <f t="shared" si="10"/>
        <v>2.9076614188916494E-4</v>
      </c>
      <c r="G254" s="34">
        <f t="shared" si="11"/>
        <v>3.2921409728129181E-2</v>
      </c>
    </row>
    <row r="255" spans="1:7">
      <c r="A255" s="31">
        <f>'Energy Data &amp; SFC Calc (2)'!C246</f>
        <v>46143</v>
      </c>
      <c r="B255" s="32">
        <f>'Energy Data &amp; SFC Calc (2)'!K246</f>
        <v>53.744</v>
      </c>
      <c r="C255" s="33">
        <f>'Energy Data &amp; SFC Calc (2)'!H246</f>
        <v>94023692.31400001</v>
      </c>
      <c r="D255" s="33">
        <f>'Energy Data &amp; SFC Calc (2)'!J246</f>
        <v>1749.4732865808278</v>
      </c>
      <c r="E255" s="34">
        <f t="shared" si="9"/>
        <v>-6.354493694127572E-2</v>
      </c>
      <c r="F255" s="34">
        <f t="shared" si="10"/>
        <v>4.1389378648166053E-2</v>
      </c>
      <c r="G255" s="34">
        <f t="shared" si="11"/>
        <v>0.10985612669093059</v>
      </c>
    </row>
    <row r="256" spans="1:7">
      <c r="A256" s="31">
        <f>'Energy Data &amp; SFC Calc (2)'!C247</f>
        <v>46144</v>
      </c>
      <c r="B256" s="32">
        <f>'Energy Data &amp; SFC Calc (2)'!K247</f>
        <v>52.725000000000001</v>
      </c>
      <c r="C256" s="33">
        <f>'Energy Data &amp; SFC Calc (2)'!H247</f>
        <v>88325113.125</v>
      </c>
      <c r="D256" s="33">
        <f>'Energy Data &amp; SFC Calc (2)'!J247</f>
        <v>1675.2036628733997</v>
      </c>
      <c r="E256" s="34">
        <f t="shared" si="9"/>
        <v>-8.1300364696129113E-2</v>
      </c>
      <c r="F256" s="34">
        <f t="shared" si="10"/>
        <v>-2.1727051846730072E-2</v>
      </c>
      <c r="G256" s="34">
        <f t="shared" si="11"/>
        <v>6.2739890317971891E-2</v>
      </c>
    </row>
    <row r="257" spans="1:7">
      <c r="A257" s="31">
        <f>'Energy Data &amp; SFC Calc (2)'!C248</f>
        <v>46145</v>
      </c>
      <c r="B257" s="32">
        <f>'Energy Data &amp; SFC Calc (2)'!K248</f>
        <v>52.042000000000002</v>
      </c>
      <c r="C257" s="33">
        <f>'Energy Data &amp; SFC Calc (2)'!H248</f>
        <v>87319801.365999997</v>
      </c>
      <c r="D257" s="33">
        <f>'Energy Data &amp; SFC Calc (2)'!J248</f>
        <v>1677.8717452442258</v>
      </c>
      <c r="E257" s="34">
        <f t="shared" si="9"/>
        <v>-9.3201205870383164E-2</v>
      </c>
      <c r="F257" s="34">
        <f t="shared" si="10"/>
        <v>-3.2861702723409381E-2</v>
      </c>
      <c r="G257" s="34">
        <f t="shared" si="11"/>
        <v>6.4432506940638401E-2</v>
      </c>
    </row>
    <row r="258" spans="1:7">
      <c r="A258" s="31">
        <f>'Energy Data &amp; SFC Calc (2)'!C249</f>
        <v>46146</v>
      </c>
      <c r="B258" s="32">
        <f>'Energy Data &amp; SFC Calc (2)'!K249</f>
        <v>52.761000000000003</v>
      </c>
      <c r="C258" s="33">
        <f>'Energy Data &amp; SFC Calc (2)'!H249</f>
        <v>87527213</v>
      </c>
      <c r="D258" s="33">
        <f>'Energy Data &amp; SFC Calc (2)'!J249</f>
        <v>1658.9377191486135</v>
      </c>
      <c r="E258" s="34">
        <f t="shared" si="9"/>
        <v>-8.0673087562493473E-2</v>
      </c>
      <c r="F258" s="34">
        <f t="shared" si="10"/>
        <v>-3.0564449048938402E-2</v>
      </c>
      <c r="G258" s="34">
        <f t="shared" si="11"/>
        <v>5.2420866050590043E-2</v>
      </c>
    </row>
    <row r="259" spans="1:7">
      <c r="A259" s="31">
        <f>'Energy Data &amp; SFC Calc (2)'!C250</f>
        <v>46147</v>
      </c>
      <c r="B259" s="32">
        <f>'Energy Data &amp; SFC Calc (2)'!K250</f>
        <v>58.99</v>
      </c>
      <c r="C259" s="33">
        <f>'Energy Data &amp; SFC Calc (2)'!H250</f>
        <v>90378952.762000009</v>
      </c>
      <c r="D259" s="33">
        <f>'Energy Data &amp; SFC Calc (2)'!J250</f>
        <v>1532.1063360230548</v>
      </c>
      <c r="E259" s="34">
        <f t="shared" si="9"/>
        <v>2.7863280921296196E-2</v>
      </c>
      <c r="F259" s="34">
        <f t="shared" si="10"/>
        <v>1.0209038097608314E-3</v>
      </c>
      <c r="G259" s="34">
        <f t="shared" si="11"/>
        <v>-2.8040258276547547E-2</v>
      </c>
    </row>
    <row r="260" spans="1:7">
      <c r="A260" s="31">
        <f>'Energy Data &amp; SFC Calc (2)'!C251</f>
        <v>46148</v>
      </c>
      <c r="B260" s="32">
        <f>'Energy Data &amp; SFC Calc (2)'!K251</f>
        <v>56.582999999999998</v>
      </c>
      <c r="C260" s="33">
        <f>'Energy Data &amp; SFC Calc (2)'!H251</f>
        <v>89497098.234999999</v>
      </c>
      <c r="D260" s="33">
        <f>'Energy Data &amp; SFC Calc (2)'!J251</f>
        <v>1581.6958845412933</v>
      </c>
      <c r="E260" s="34">
        <f t="shared" si="9"/>
        <v>-1.4077165208175924E-2</v>
      </c>
      <c r="F260" s="34">
        <f t="shared" si="10"/>
        <v>-8.7463571361685588E-3</v>
      </c>
      <c r="G260" s="34">
        <f t="shared" si="11"/>
        <v>3.4190756069489847E-3</v>
      </c>
    </row>
    <row r="261" spans="1:7">
      <c r="A261" s="31">
        <f>'Energy Data &amp; SFC Calc (2)'!C252</f>
        <v>46149</v>
      </c>
      <c r="B261" s="32">
        <f>'Energy Data &amp; SFC Calc (2)'!K252</f>
        <v>58.009</v>
      </c>
      <c r="C261" s="33">
        <f>'Energy Data &amp; SFC Calc (2)'!H252</f>
        <v>90461709.429999992</v>
      </c>
      <c r="D261" s="33">
        <f>'Energy Data &amp; SFC Calc (2)'!J252</f>
        <v>1559.4426628626591</v>
      </c>
      <c r="E261" s="34">
        <f t="shared" si="9"/>
        <v>1.0769979029724874E-2</v>
      </c>
      <c r="F261" s="34">
        <f t="shared" si="10"/>
        <v>1.9375016687310787E-3</v>
      </c>
      <c r="G261" s="34">
        <f t="shared" si="11"/>
        <v>-1.0698244507674315E-2</v>
      </c>
    </row>
    <row r="262" spans="1:7">
      <c r="A262" s="31">
        <f>'Energy Data &amp; SFC Calc (2)'!C253</f>
        <v>46150</v>
      </c>
      <c r="B262" s="32">
        <f>'Energy Data &amp; SFC Calc (2)'!K253</f>
        <v>60.134</v>
      </c>
      <c r="C262" s="33">
        <f>'Energy Data &amp; SFC Calc (2)'!H253</f>
        <v>91518616.907999992</v>
      </c>
      <c r="D262" s="33">
        <f>'Energy Data &amp; SFC Calc (2)'!J253</f>
        <v>1521.9113464595735</v>
      </c>
      <c r="E262" s="34">
        <f t="shared" si="9"/>
        <v>4.7796754279051168E-2</v>
      </c>
      <c r="F262" s="34">
        <f t="shared" si="10"/>
        <v>1.3643617379729855E-2</v>
      </c>
      <c r="G262" s="34">
        <f t="shared" si="11"/>
        <v>-3.4507902975880911E-2</v>
      </c>
    </row>
    <row r="263" spans="1:7">
      <c r="A263" s="31">
        <f>'Energy Data &amp; SFC Calc (2)'!C254</f>
        <v>46151</v>
      </c>
      <c r="B263" s="32">
        <f>'Energy Data &amp; SFC Calc (2)'!K254</f>
        <v>60.247</v>
      </c>
      <c r="C263" s="33">
        <f>'Energy Data &amp; SFC Calc (2)'!H254</f>
        <v>91740041.530000001</v>
      </c>
      <c r="D263" s="33">
        <f>'Energy Data &amp; SFC Calc (2)'!J254</f>
        <v>1522.7321116404137</v>
      </c>
      <c r="E263" s="34">
        <f t="shared" si="9"/>
        <v>4.9765707504074053E-2</v>
      </c>
      <c r="F263" s="34">
        <f t="shared" si="10"/>
        <v>1.6096076370086365E-2</v>
      </c>
      <c r="G263" s="34">
        <f t="shared" si="11"/>
        <v>-3.3987214108255781E-2</v>
      </c>
    </row>
    <row r="264" spans="1:7">
      <c r="A264" s="31">
        <f>'Energy Data &amp; SFC Calc (2)'!C255</f>
        <v>46152</v>
      </c>
      <c r="B264" s="32">
        <f>'Energy Data &amp; SFC Calc (2)'!K255</f>
        <v>60.113999999999997</v>
      </c>
      <c r="C264" s="33">
        <f>'Energy Data &amp; SFC Calc (2)'!H255</f>
        <v>92132094.206</v>
      </c>
      <c r="D264" s="33">
        <f>'Energy Data &amp; SFC Calc (2)'!J255</f>
        <v>1532.6229198855508</v>
      </c>
      <c r="E264" s="34">
        <f t="shared" si="9"/>
        <v>4.7448266982586862E-2</v>
      </c>
      <c r="F264" s="34">
        <f t="shared" si="10"/>
        <v>2.0438380768147191E-2</v>
      </c>
      <c r="G264" s="34">
        <f t="shared" si="11"/>
        <v>-2.7712540346163217E-2</v>
      </c>
    </row>
    <row r="265" spans="1:7">
      <c r="A265" s="31">
        <f>'Energy Data &amp; SFC Calc (2)'!C256</f>
        <v>46153</v>
      </c>
      <c r="B265" s="32">
        <f>'Energy Data &amp; SFC Calc (2)'!K256</f>
        <v>61.198</v>
      </c>
      <c r="C265" s="33">
        <f>'Energy Data &amp; SFC Calc (2)'!H256</f>
        <v>92989417.466000006</v>
      </c>
      <c r="D265" s="33">
        <f>'Energy Data &amp; SFC Calc (2)'!J256</f>
        <v>1519.4845822739305</v>
      </c>
      <c r="E265" s="34">
        <f t="shared" si="9"/>
        <v>6.6336278450949138E-2</v>
      </c>
      <c r="F265" s="34">
        <f t="shared" si="10"/>
        <v>2.9933937845935787E-2</v>
      </c>
      <c r="G265" s="34">
        <f t="shared" si="11"/>
        <v>-3.6047428683491978E-2</v>
      </c>
    </row>
    <row r="266" spans="1:7">
      <c r="A266" s="31">
        <f>'Energy Data &amp; SFC Calc (2)'!C257</f>
        <v>46154</v>
      </c>
      <c r="B266" s="32">
        <f>'Energy Data &amp; SFC Calc (2)'!K257</f>
        <v>61.898000000000003</v>
      </c>
      <c r="C266" s="33">
        <f>'Energy Data &amp; SFC Calc (2)'!H257</f>
        <v>93200085.299999997</v>
      </c>
      <c r="D266" s="33">
        <f>'Energy Data &amp; SFC Calc (2)'!J257</f>
        <v>1505.7043087014119</v>
      </c>
      <c r="E266" s="34">
        <f t="shared" si="9"/>
        <v>7.8533333827197849E-2</v>
      </c>
      <c r="F266" s="34">
        <f t="shared" si="10"/>
        <v>3.2267256601571814E-2</v>
      </c>
      <c r="G266" s="34">
        <f t="shared" si="11"/>
        <v>-4.4789557625527832E-2</v>
      </c>
    </row>
    <row r="267" spans="1:7">
      <c r="A267" s="31">
        <f>'Energy Data &amp; SFC Calc (2)'!C258</f>
        <v>46155</v>
      </c>
      <c r="B267" s="32">
        <f>'Energy Data &amp; SFC Calc (2)'!K258</f>
        <v>61.667000000000002</v>
      </c>
      <c r="C267" s="33">
        <f>'Energy Data &amp; SFC Calc (2)'!H258</f>
        <v>93259451.719999999</v>
      </c>
      <c r="D267" s="33">
        <f>'Energy Data &amp; SFC Calc (2)'!J258</f>
        <v>1512.3072586634667</v>
      </c>
      <c r="E267" s="34">
        <f t="shared" si="9"/>
        <v>7.4508305553035781E-2</v>
      </c>
      <c r="F267" s="34">
        <f t="shared" si="10"/>
        <v>3.2924788312088893E-2</v>
      </c>
      <c r="G267" s="34">
        <f t="shared" si="11"/>
        <v>-4.0600682879150529E-2</v>
      </c>
    </row>
    <row r="268" spans="1:7">
      <c r="A268" s="31">
        <f>'Energy Data &amp; SFC Calc (2)'!C259</f>
        <v>46156</v>
      </c>
      <c r="B268" s="32">
        <f>'Energy Data &amp; SFC Calc (2)'!K259</f>
        <v>61.2</v>
      </c>
      <c r="C268" s="33">
        <f>'Energy Data &amp; SFC Calc (2)'!H259</f>
        <v>93651973.304000005</v>
      </c>
      <c r="D268" s="33">
        <f>'Energy Data &amp; SFC Calc (2)'!J259</f>
        <v>1530.2610016993465</v>
      </c>
      <c r="E268" s="34">
        <f t="shared" si="9"/>
        <v>6.6371127180595568E-2</v>
      </c>
      <c r="F268" s="34">
        <f t="shared" si="10"/>
        <v>3.7272286250189968E-2</v>
      </c>
      <c r="G268" s="34">
        <f t="shared" si="11"/>
        <v>-2.9210928112246126E-2</v>
      </c>
    </row>
    <row r="269" spans="1:7">
      <c r="A269" s="31">
        <f>'Energy Data &amp; SFC Calc (2)'!C260</f>
        <v>46157</v>
      </c>
      <c r="B269" s="32">
        <f>'Energy Data &amp; SFC Calc (2)'!K260</f>
        <v>61.209000000000003</v>
      </c>
      <c r="C269" s="33">
        <f>'Energy Data &amp; SFC Calc (2)'!H260</f>
        <v>93662159.175999999</v>
      </c>
      <c r="D269" s="33">
        <f>'Energy Data &amp; SFC Calc (2)'!J260</f>
        <v>1530.2024077504941</v>
      </c>
      <c r="E269" s="34">
        <f t="shared" ref="E269:E332" si="12">B269/$B$8-1</f>
        <v>6.6527946464004506E-2</v>
      </c>
      <c r="F269" s="34">
        <f t="shared" ref="F269:F332" si="13">C269/$B$9-1</f>
        <v>3.7385103122746344E-2</v>
      </c>
      <c r="G269" s="34">
        <f t="shared" ref="G269:G332" si="14">D269/$B$10-1</f>
        <v>-2.9248099787641091E-2</v>
      </c>
    </row>
    <row r="270" spans="1:7">
      <c r="A270" s="31">
        <f>'Energy Data &amp; SFC Calc (2)'!C261</f>
        <v>46158</v>
      </c>
      <c r="B270" s="32">
        <f>'Energy Data &amp; SFC Calc (2)'!K261</f>
        <v>60.136000000000003</v>
      </c>
      <c r="C270" s="33">
        <f>'Energy Data &amp; SFC Calc (2)'!H261</f>
        <v>93317576.950000003</v>
      </c>
      <c r="D270" s="33">
        <f>'Energy Data &amp; SFC Calc (2)'!J261</f>
        <v>1551.7755911600373</v>
      </c>
      <c r="E270" s="34">
        <f t="shared" si="12"/>
        <v>4.7831603008697599E-2</v>
      </c>
      <c r="F270" s="34">
        <f t="shared" si="13"/>
        <v>3.3568572827074261E-2</v>
      </c>
      <c r="G270" s="34">
        <f t="shared" si="14"/>
        <v>-1.5562192170210043E-2</v>
      </c>
    </row>
    <row r="271" spans="1:7">
      <c r="A271" s="31">
        <f>'Energy Data &amp; SFC Calc (2)'!C262</f>
        <v>46159</v>
      </c>
      <c r="B271" s="32">
        <f>'Energy Data &amp; SFC Calc (2)'!K262</f>
        <v>59.62</v>
      </c>
      <c r="C271" s="33">
        <f>'Energy Data &amp; SFC Calc (2)'!H262</f>
        <v>92134406.768000007</v>
      </c>
      <c r="D271" s="33">
        <f>'Energy Data &amp; SFC Calc (2)'!J262</f>
        <v>1545.3607307614895</v>
      </c>
      <c r="E271" s="34">
        <f t="shared" si="12"/>
        <v>3.8840630759919836E-2</v>
      </c>
      <c r="F271" s="34">
        <f t="shared" si="13"/>
        <v>2.0463994285814913E-2</v>
      </c>
      <c r="G271" s="34">
        <f t="shared" si="14"/>
        <v>-1.9631743943195223E-2</v>
      </c>
    </row>
    <row r="272" spans="1:7">
      <c r="A272" s="31">
        <f>'Energy Data &amp; SFC Calc (2)'!C263</f>
        <v>46160</v>
      </c>
      <c r="B272" s="32">
        <f>'Energy Data &amp; SFC Calc (2)'!K263</f>
        <v>61.238999999999997</v>
      </c>
      <c r="C272" s="33">
        <f>'Energy Data &amp; SFC Calc (2)'!H263</f>
        <v>93482989.057999998</v>
      </c>
      <c r="D272" s="33">
        <f>'Energy Data &amp; SFC Calc (2)'!J263</f>
        <v>1526.5270343735201</v>
      </c>
      <c r="E272" s="34">
        <f t="shared" si="12"/>
        <v>6.7050677408700743E-2</v>
      </c>
      <c r="F272" s="34">
        <f t="shared" si="13"/>
        <v>3.540064736203008E-2</v>
      </c>
      <c r="G272" s="34">
        <f t="shared" si="14"/>
        <v>-3.1579736224504606E-2</v>
      </c>
    </row>
    <row r="273" spans="1:7">
      <c r="A273" s="31">
        <f>'Energy Data &amp; SFC Calc (2)'!C264</f>
        <v>46161</v>
      </c>
      <c r="B273" s="32">
        <f>'Energy Data &amp; SFC Calc (2)'!K264</f>
        <v>57.835999999999999</v>
      </c>
      <c r="C273" s="33">
        <f>'Energy Data &amp; SFC Calc (2)'!H264</f>
        <v>92230847.700000003</v>
      </c>
      <c r="D273" s="33">
        <f>'Energy Data &amp; SFC Calc (2)'!J264</f>
        <v>1594.6961702054084</v>
      </c>
      <c r="E273" s="34">
        <f t="shared" si="12"/>
        <v>7.7555639153090716E-3</v>
      </c>
      <c r="F273" s="34">
        <f t="shared" si="13"/>
        <v>2.1532156573212946E-2</v>
      </c>
      <c r="G273" s="34">
        <f t="shared" si="14"/>
        <v>1.1666384556289655E-2</v>
      </c>
    </row>
    <row r="274" spans="1:7">
      <c r="A274" s="31">
        <f>'Energy Data &amp; SFC Calc (2)'!C265</f>
        <v>46162</v>
      </c>
      <c r="B274" s="32">
        <f>'Energy Data &amp; SFC Calc (2)'!K265</f>
        <v>59.168999999999997</v>
      </c>
      <c r="C274" s="33">
        <f>'Energy Data &amp; SFC Calc (2)'!H265</f>
        <v>92079846.885000005</v>
      </c>
      <c r="D274" s="33">
        <f>'Energy Data &amp; SFC Calc (2)'!J265</f>
        <v>1556.217730314861</v>
      </c>
      <c r="E274" s="34">
        <f t="shared" si="12"/>
        <v>3.0982242224651069E-2</v>
      </c>
      <c r="F274" s="34">
        <f t="shared" si="13"/>
        <v>1.9859698908148316E-2</v>
      </c>
      <c r="G274" s="34">
        <f t="shared" si="14"/>
        <v>-1.2744123786765149E-2</v>
      </c>
    </row>
    <row r="275" spans="1:7">
      <c r="A275" s="31">
        <f>'Energy Data &amp; SFC Calc (2)'!C266</f>
        <v>46163</v>
      </c>
      <c r="B275" s="32">
        <f>'Energy Data &amp; SFC Calc (2)'!K266</f>
        <v>60.393000000000001</v>
      </c>
      <c r="C275" s="33">
        <f>'Energy Data &amp; SFC Calc (2)'!H266</f>
        <v>92356117.887999997</v>
      </c>
      <c r="D275" s="33">
        <f>'Energy Data &amp; SFC Calc (2)'!J266</f>
        <v>1529.2520306658055</v>
      </c>
      <c r="E275" s="34">
        <f t="shared" si="12"/>
        <v>5.2309664768263042E-2</v>
      </c>
      <c r="F275" s="34">
        <f t="shared" si="13"/>
        <v>2.2919626476104904E-2</v>
      </c>
      <c r="G275" s="34">
        <f t="shared" si="14"/>
        <v>-2.9851013726481357E-2</v>
      </c>
    </row>
    <row r="276" spans="1:7">
      <c r="A276" s="31">
        <f>'Energy Data &amp; SFC Calc (2)'!C267</f>
        <v>46164</v>
      </c>
      <c r="B276" s="32">
        <f>'Energy Data &amp; SFC Calc (2)'!K267</f>
        <v>58.783000000000001</v>
      </c>
      <c r="C276" s="33">
        <f>'Energy Data &amp; SFC Calc (2)'!H267</f>
        <v>91991361.760000005</v>
      </c>
      <c r="D276" s="33">
        <f>'Energy Data &amp; SFC Calc (2)'!J267</f>
        <v>1564.9313876460883</v>
      </c>
      <c r="E276" s="34">
        <f t="shared" si="12"/>
        <v>2.4256437402891295E-2</v>
      </c>
      <c r="F276" s="34">
        <f t="shared" si="13"/>
        <v>1.8879653697462251E-2</v>
      </c>
      <c r="G276" s="34">
        <f t="shared" si="14"/>
        <v>-7.2162280200063211E-3</v>
      </c>
    </row>
    <row r="277" spans="1:7">
      <c r="A277" s="31">
        <f>'Energy Data &amp; SFC Calc (2)'!C268</f>
        <v>46165</v>
      </c>
      <c r="B277" s="32">
        <f>'Energy Data &amp; SFC Calc (2)'!K268</f>
        <v>60.616999999999997</v>
      </c>
      <c r="C277" s="33">
        <f>'Energy Data &amp; SFC Calc (2)'!H268</f>
        <v>91851004.219999999</v>
      </c>
      <c r="D277" s="33">
        <f>'Energy Data &amp; SFC Calc (2)'!J268</f>
        <v>1515.2680637444942</v>
      </c>
      <c r="E277" s="34">
        <f t="shared" si="12"/>
        <v>5.6212722488662603E-2</v>
      </c>
      <c r="F277" s="34">
        <f t="shared" si="13"/>
        <v>1.7325079017699085E-2</v>
      </c>
      <c r="G277" s="34">
        <f t="shared" si="14"/>
        <v>-3.8722364596544323E-2</v>
      </c>
    </row>
    <row r="278" spans="1:7">
      <c r="A278" s="31">
        <f>'Energy Data &amp; SFC Calc (2)'!C269</f>
        <v>46166</v>
      </c>
      <c r="B278" s="32">
        <f>'Energy Data &amp; SFC Calc (2)'!K269</f>
        <v>59.49</v>
      </c>
      <c r="C278" s="33">
        <f>'Energy Data &amp; SFC Calc (2)'!H269</f>
        <v>91851669.002999991</v>
      </c>
      <c r="D278" s="33">
        <f>'Energy Data &amp; SFC Calc (2)'!J269</f>
        <v>1543.985022743318</v>
      </c>
      <c r="E278" s="34">
        <f t="shared" si="12"/>
        <v>3.6575463332902514E-2</v>
      </c>
      <c r="F278" s="34">
        <f t="shared" si="13"/>
        <v>1.7332442033745954E-2</v>
      </c>
      <c r="G278" s="34">
        <f t="shared" si="14"/>
        <v>-2.050448546158079E-2</v>
      </c>
    </row>
    <row r="279" spans="1:7">
      <c r="A279" s="31">
        <f>'Energy Data &amp; SFC Calc (2)'!C270</f>
        <v>46167</v>
      </c>
      <c r="B279" s="32">
        <f>'Energy Data &amp; SFC Calc (2)'!K270</f>
        <v>60.933999999999997</v>
      </c>
      <c r="C279" s="33">
        <f>'Energy Data &amp; SFC Calc (2)'!H270</f>
        <v>92659225.200000003</v>
      </c>
      <c r="D279" s="33">
        <f>'Energy Data &amp; SFC Calc (2)'!J270</f>
        <v>1520.6489841467819</v>
      </c>
      <c r="E279" s="34">
        <f t="shared" si="12"/>
        <v>6.1736246137620965E-2</v>
      </c>
      <c r="F279" s="34">
        <f t="shared" si="13"/>
        <v>2.627678813971257E-2</v>
      </c>
      <c r="G279" s="34">
        <f t="shared" si="14"/>
        <v>-3.5308738608926582E-2</v>
      </c>
    </row>
    <row r="280" spans="1:7">
      <c r="A280" s="31">
        <f>'Energy Data &amp; SFC Calc (2)'!C271</f>
        <v>46168</v>
      </c>
      <c r="B280" s="32">
        <f>'Energy Data &amp; SFC Calc (2)'!K271</f>
        <v>61.683999999999997</v>
      </c>
      <c r="C280" s="33">
        <f>'Energy Data &amp; SFC Calc (2)'!H271</f>
        <v>94749414.087000012</v>
      </c>
      <c r="D280" s="33">
        <f>'Energy Data &amp; SFC Calc (2)'!J271</f>
        <v>1536.0452319402116</v>
      </c>
      <c r="E280" s="34">
        <f t="shared" si="12"/>
        <v>7.4804519755030219E-2</v>
      </c>
      <c r="F280" s="34">
        <f t="shared" si="13"/>
        <v>4.9427341502592315E-2</v>
      </c>
      <c r="G280" s="34">
        <f t="shared" si="14"/>
        <v>-2.554144460526353E-2</v>
      </c>
    </row>
    <row r="281" spans="1:7">
      <c r="A281" s="31">
        <f>'Energy Data &amp; SFC Calc (2)'!C272</f>
        <v>46169</v>
      </c>
      <c r="B281" s="32">
        <f>'Energy Data &amp; SFC Calc (2)'!K272</f>
        <v>61.253999999999998</v>
      </c>
      <c r="C281" s="33">
        <f>'Energy Data &amp; SFC Calc (2)'!H272</f>
        <v>92784363.354000002</v>
      </c>
      <c r="D281" s="33">
        <f>'Energy Data &amp; SFC Calc (2)'!J272</f>
        <v>1514.7478263297091</v>
      </c>
      <c r="E281" s="34">
        <f t="shared" si="12"/>
        <v>6.7312042881048972E-2</v>
      </c>
      <c r="F281" s="34">
        <f t="shared" si="13"/>
        <v>2.7662795657945605E-2</v>
      </c>
      <c r="G281" s="34">
        <f t="shared" si="14"/>
        <v>-3.9052400320188529E-2</v>
      </c>
    </row>
    <row r="282" spans="1:7">
      <c r="A282" s="31">
        <f>'Energy Data &amp; SFC Calc (2)'!C273</f>
        <v>46170</v>
      </c>
      <c r="B282" s="32">
        <f>'Energy Data &amp; SFC Calc (2)'!K273</f>
        <v>59.933999999999997</v>
      </c>
      <c r="C282" s="33">
        <f>'Energy Data &amp; SFC Calc (2)'!H273</f>
        <v>92656499.923999995</v>
      </c>
      <c r="D282" s="33">
        <f>'Energy Data &amp; SFC Calc (2)'!J273</f>
        <v>1545.9755718623819</v>
      </c>
      <c r="E282" s="34">
        <f t="shared" si="12"/>
        <v>4.4311881314408552E-2</v>
      </c>
      <c r="F282" s="34">
        <f t="shared" si="13"/>
        <v>2.6246603476566044E-2</v>
      </c>
      <c r="G282" s="34">
        <f t="shared" si="14"/>
        <v>-1.9241692167040081E-2</v>
      </c>
    </row>
    <row r="283" spans="1:7">
      <c r="A283" s="31">
        <f>'Energy Data &amp; SFC Calc (2)'!C274</f>
        <v>46171</v>
      </c>
      <c r="B283" s="32">
        <f>'Energy Data &amp; SFC Calc (2)'!K274</f>
        <v>59.526000000000003</v>
      </c>
      <c r="C283" s="33">
        <f>'Energy Data &amp; SFC Calc (2)'!H274</f>
        <v>91882015.957000002</v>
      </c>
      <c r="D283" s="33">
        <f>'Energy Data &amp; SFC Calc (2)'!J274</f>
        <v>1543.561065030407</v>
      </c>
      <c r="E283" s="34">
        <f t="shared" si="12"/>
        <v>3.7202740466538042E-2</v>
      </c>
      <c r="F283" s="34">
        <f t="shared" si="13"/>
        <v>1.7668559397276073E-2</v>
      </c>
      <c r="G283" s="34">
        <f t="shared" si="14"/>
        <v>-2.077344187762975E-2</v>
      </c>
    </row>
    <row r="284" spans="1:7">
      <c r="A284" s="31">
        <f>'Energy Data &amp; SFC Calc (2)'!C275</f>
        <v>46172</v>
      </c>
      <c r="B284" s="32">
        <f>'Energy Data &amp; SFC Calc (2)'!K275</f>
        <v>57.548999999999999</v>
      </c>
      <c r="C284" s="33">
        <f>'Energy Data &amp; SFC Calc (2)'!H275</f>
        <v>89753555.780000001</v>
      </c>
      <c r="D284" s="33">
        <f>'Energy Data &amp; SFC Calc (2)'!J275</f>
        <v>1559.6023524301031</v>
      </c>
      <c r="E284" s="34">
        <f t="shared" si="12"/>
        <v>2.7547712110471689E-3</v>
      </c>
      <c r="F284" s="34">
        <f t="shared" si="13"/>
        <v>-5.9058798387521261E-3</v>
      </c>
      <c r="G284" s="34">
        <f t="shared" si="14"/>
        <v>-1.0596938333892858E-2</v>
      </c>
    </row>
    <row r="285" spans="1:7">
      <c r="A285" s="31">
        <f>'Energy Data &amp; SFC Calc (2)'!C276</f>
        <v>46173</v>
      </c>
      <c r="B285" s="32">
        <f>'Energy Data &amp; SFC Calc (2)'!K276</f>
        <v>57.23</v>
      </c>
      <c r="C285" s="33">
        <f>'Energy Data &amp; SFC Calc (2)'!H276</f>
        <v>90629894.719999999</v>
      </c>
      <c r="D285" s="33">
        <f>'Energy Data &amp; SFC Calc (2)'!J276</f>
        <v>1583.6081551633758</v>
      </c>
      <c r="E285" s="34">
        <f t="shared" si="12"/>
        <v>-2.8036011675576233E-3</v>
      </c>
      <c r="F285" s="34">
        <f t="shared" si="13"/>
        <v>3.8002914650088204E-3</v>
      </c>
      <c r="G285" s="34">
        <f t="shared" si="14"/>
        <v>4.632209458199199E-3</v>
      </c>
    </row>
    <row r="286" spans="1:7">
      <c r="A286" s="31">
        <f>'Energy Data &amp; SFC Calc (2)'!C277</f>
        <v>46174</v>
      </c>
      <c r="B286" s="32">
        <f>'Energy Data &amp; SFC Calc (2)'!K277</f>
        <v>57.929000000000002</v>
      </c>
      <c r="C286" s="33">
        <f>'Energy Data &amp; SFC Calc (2)'!H277</f>
        <v>90871325.247999996</v>
      </c>
      <c r="D286" s="33">
        <f>'Energy Data &amp; SFC Calc (2)'!J277</f>
        <v>1568.6672521189732</v>
      </c>
      <c r="E286" s="34">
        <f t="shared" si="12"/>
        <v>9.3760298438678724E-3</v>
      </c>
      <c r="F286" s="34">
        <f t="shared" si="13"/>
        <v>6.4743322450810936E-3</v>
      </c>
      <c r="G286" s="34">
        <f t="shared" si="14"/>
        <v>-4.8462163682011505E-3</v>
      </c>
    </row>
    <row r="287" spans="1:7">
      <c r="A287" s="31">
        <f>'Energy Data &amp; SFC Calc (2)'!C278</f>
        <v>46175</v>
      </c>
      <c r="B287" s="32">
        <f>'Energy Data &amp; SFC Calc (2)'!K278</f>
        <v>58.345999999999997</v>
      </c>
      <c r="C287" s="33">
        <f>'Energy Data &amp; SFC Calc (2)'!H278</f>
        <v>92152770.785999998</v>
      </c>
      <c r="D287" s="33">
        <f>'Energy Data &amp; SFC Calc (2)'!J278</f>
        <v>1579.4188253864875</v>
      </c>
      <c r="E287" s="34">
        <f t="shared" si="12"/>
        <v>1.664198997514732E-2</v>
      </c>
      <c r="F287" s="34">
        <f t="shared" si="13"/>
        <v>2.066739082155844E-2</v>
      </c>
      <c r="G287" s="34">
        <f t="shared" si="14"/>
        <v>1.974521938605589E-3</v>
      </c>
    </row>
    <row r="288" spans="1:7">
      <c r="A288" s="31">
        <f>'Energy Data &amp; SFC Calc (2)'!C279</f>
        <v>46176</v>
      </c>
      <c r="B288" s="32">
        <f>'Energy Data &amp; SFC Calc (2)'!K279</f>
        <v>57.807000000000002</v>
      </c>
      <c r="C288" s="33">
        <f>'Energy Data &amp; SFC Calc (2)'!H279</f>
        <v>91924128.416999996</v>
      </c>
      <c r="D288" s="33">
        <f>'Energy Data &amp; SFC Calc (2)'!J279</f>
        <v>1590.1902609891536</v>
      </c>
      <c r="E288" s="34">
        <f t="shared" si="12"/>
        <v>7.25025733543605E-3</v>
      </c>
      <c r="F288" s="34">
        <f t="shared" si="13"/>
        <v>1.8134989373310928E-2</v>
      </c>
      <c r="G288" s="34">
        <f t="shared" si="14"/>
        <v>8.8078608004067416E-3</v>
      </c>
    </row>
    <row r="289" spans="1:7">
      <c r="A289" s="31">
        <f>'Energy Data &amp; SFC Calc (2)'!C280</f>
        <v>46177</v>
      </c>
      <c r="B289" s="32">
        <f>'Energy Data &amp; SFC Calc (2)'!K280</f>
        <v>55.536000000000001</v>
      </c>
      <c r="C289" s="33">
        <f>'Energy Data &amp; SFC Calc (2)'!H280</f>
        <v>89982479.351999998</v>
      </c>
      <c r="D289" s="33">
        <f>'Energy Data &amp; SFC Calc (2)'!J280</f>
        <v>1620.2549580812445</v>
      </c>
      <c r="E289" s="34">
        <f t="shared" si="12"/>
        <v>-3.2320475178079233E-2</v>
      </c>
      <c r="F289" s="34">
        <f t="shared" si="13"/>
        <v>-3.370363837031598E-3</v>
      </c>
      <c r="G289" s="34">
        <f t="shared" si="14"/>
        <v>2.7880737488897189E-2</v>
      </c>
    </row>
    <row r="290" spans="1:7">
      <c r="A290" s="31">
        <f>'Energy Data &amp; SFC Calc (2)'!C281</f>
        <v>46178</v>
      </c>
      <c r="B290" s="32">
        <f>'Energy Data &amp; SFC Calc (2)'!K281</f>
        <v>55.573</v>
      </c>
      <c r="C290" s="33">
        <f>'Energy Data &amp; SFC Calc (2)'!H281</f>
        <v>90885803.225000009</v>
      </c>
      <c r="D290" s="33">
        <f>'Energy Data &amp; SFC Calc (2)'!J281</f>
        <v>1635.4309327371207</v>
      </c>
      <c r="E290" s="34">
        <f t="shared" si="12"/>
        <v>-3.1675773679620378E-2</v>
      </c>
      <c r="F290" s="34">
        <f t="shared" si="13"/>
        <v>6.634687694873298E-3</v>
      </c>
      <c r="G290" s="34">
        <f t="shared" si="14"/>
        <v>3.7508291438719921E-2</v>
      </c>
    </row>
    <row r="291" spans="1:7">
      <c r="A291" s="31">
        <f>'Energy Data &amp; SFC Calc (2)'!C282</f>
        <v>46179</v>
      </c>
      <c r="B291" s="32">
        <f>'Energy Data &amp; SFC Calc (2)'!K282</f>
        <v>58.790999999999997</v>
      </c>
      <c r="C291" s="33">
        <f>'Energy Data &amp; SFC Calc (2)'!H282</f>
        <v>92361196.179999992</v>
      </c>
      <c r="D291" s="33">
        <f>'Energy Data &amp; SFC Calc (2)'!J282</f>
        <v>1571.0091030940109</v>
      </c>
      <c r="E291" s="34">
        <f t="shared" si="12"/>
        <v>2.4395832321476796E-2</v>
      </c>
      <c r="F291" s="34">
        <f t="shared" si="13"/>
        <v>2.2975872718092427E-2</v>
      </c>
      <c r="G291" s="34">
        <f t="shared" si="14"/>
        <v>-3.3605591293173198E-3</v>
      </c>
    </row>
    <row r="292" spans="1:7">
      <c r="A292" s="31">
        <f>'Energy Data &amp; SFC Calc (2)'!C283</f>
        <v>46180</v>
      </c>
      <c r="B292" s="32">
        <f>'Energy Data &amp; SFC Calc (2)'!K283</f>
        <v>56.963000000000001</v>
      </c>
      <c r="C292" s="33">
        <f>'Energy Data &amp; SFC Calc (2)'!H283</f>
        <v>91003243.351999998</v>
      </c>
      <c r="D292" s="33">
        <f>'Energy Data &amp; SFC Calc (2)'!J283</f>
        <v>1597.5851579446307</v>
      </c>
      <c r="E292" s="34">
        <f t="shared" si="12"/>
        <v>-7.4559065753552201E-3</v>
      </c>
      <c r="F292" s="34">
        <f t="shared" si="13"/>
        <v>7.9354332609635758E-3</v>
      </c>
      <c r="G292" s="34">
        <f t="shared" si="14"/>
        <v>1.3499142316528046E-2</v>
      </c>
    </row>
    <row r="293" spans="1:7">
      <c r="A293" s="31">
        <f>'Energy Data &amp; SFC Calc (2)'!C284</f>
        <v>46181</v>
      </c>
      <c r="B293" s="32">
        <f>'Energy Data &amp; SFC Calc (2)'!K284</f>
        <v>59.466999999999999</v>
      </c>
      <c r="C293" s="33">
        <f>'Energy Data &amp; SFC Calc (2)'!H284</f>
        <v>92370088.774999991</v>
      </c>
      <c r="D293" s="33">
        <f>'Energy Data &amp; SFC Calc (2)'!J284</f>
        <v>1553.2999609026854</v>
      </c>
      <c r="E293" s="34">
        <f t="shared" si="12"/>
        <v>3.6174702941968562E-2</v>
      </c>
      <c r="F293" s="34">
        <f t="shared" si="13"/>
        <v>2.3074365488943149E-2</v>
      </c>
      <c r="G293" s="34">
        <f t="shared" si="14"/>
        <v>-1.4595140480311519E-2</v>
      </c>
    </row>
    <row r="294" spans="1:7">
      <c r="A294" s="31">
        <f>'Energy Data &amp; SFC Calc (2)'!C285</f>
        <v>46182</v>
      </c>
      <c r="B294" s="32">
        <f>'Energy Data &amp; SFC Calc (2)'!K285</f>
        <v>59.524999999999999</v>
      </c>
      <c r="C294" s="33">
        <f>'Energy Data &amp; SFC Calc (2)'!H285</f>
        <v>92882269.325000003</v>
      </c>
      <c r="D294" s="33">
        <f>'Energy Data &amp; SFC Calc (2)'!J285</f>
        <v>1560.3909168416633</v>
      </c>
      <c r="E294" s="34">
        <f t="shared" si="12"/>
        <v>3.7185316101714827E-2</v>
      </c>
      <c r="F294" s="34">
        <f t="shared" si="13"/>
        <v>2.8747184451837438E-2</v>
      </c>
      <c r="G294" s="34">
        <f t="shared" si="14"/>
        <v>-1.0096677455276648E-2</v>
      </c>
    </row>
    <row r="295" spans="1:7">
      <c r="A295" s="31">
        <f>'Energy Data &amp; SFC Calc (2)'!C286</f>
        <v>46183</v>
      </c>
      <c r="B295" s="32">
        <f>'Energy Data &amp; SFC Calc (2)'!K286</f>
        <v>59.508000000000003</v>
      </c>
      <c r="C295" s="33">
        <f>'Energy Data &amp; SFC Calc (2)'!H286</f>
        <v>92555337.272</v>
      </c>
      <c r="D295" s="33">
        <f>'Energy Data &amp; SFC Calc (2)'!J286</f>
        <v>1555.3427652080393</v>
      </c>
      <c r="E295" s="34">
        <f t="shared" si="12"/>
        <v>3.6889101899720167E-2</v>
      </c>
      <c r="F295" s="34">
        <f t="shared" si="13"/>
        <v>2.5126144274040252E-2</v>
      </c>
      <c r="G295" s="34">
        <f t="shared" si="14"/>
        <v>-1.3299196786104805E-2</v>
      </c>
    </row>
    <row r="296" spans="1:7">
      <c r="A296" s="31">
        <f>'Energy Data &amp; SFC Calc (2)'!C287</f>
        <v>46184</v>
      </c>
      <c r="B296" s="32">
        <f>'Energy Data &amp; SFC Calc (2)'!K287</f>
        <v>57.923999999999999</v>
      </c>
      <c r="C296" s="33">
        <f>'Energy Data &amp; SFC Calc (2)'!H287</f>
        <v>92173745.376000002</v>
      </c>
      <c r="D296" s="33">
        <f>'Energy Data &amp; SFC Calc (2)'!J287</f>
        <v>1591.2876420136731</v>
      </c>
      <c r="E296" s="34">
        <f t="shared" si="12"/>
        <v>9.2889080197517959E-3</v>
      </c>
      <c r="F296" s="34">
        <f t="shared" si="13"/>
        <v>2.0899701579729646E-2</v>
      </c>
      <c r="G296" s="34">
        <f t="shared" si="14"/>
        <v>9.5040332213973677E-3</v>
      </c>
    </row>
    <row r="297" spans="1:7">
      <c r="A297" s="31">
        <f>'Energy Data &amp; SFC Calc (2)'!C288</f>
        <v>46185</v>
      </c>
      <c r="B297" s="32">
        <f>'Energy Data &amp; SFC Calc (2)'!K288</f>
        <v>57.566000000000003</v>
      </c>
      <c r="C297" s="33">
        <f>'Energy Data &amp; SFC Calc (2)'!H288</f>
        <v>91701236.30399999</v>
      </c>
      <c r="D297" s="33">
        <f>'Energy Data &amp; SFC Calc (2)'!J288</f>
        <v>1592.975650627106</v>
      </c>
      <c r="E297" s="34">
        <f t="shared" si="12"/>
        <v>3.050985413041829E-3</v>
      </c>
      <c r="F297" s="34">
        <f t="shared" si="13"/>
        <v>1.5666276718552918E-2</v>
      </c>
      <c r="G297" s="34">
        <f t="shared" si="14"/>
        <v>1.057489650116028E-2</v>
      </c>
    </row>
    <row r="298" spans="1:7">
      <c r="A298" s="31">
        <f>'Energy Data &amp; SFC Calc (2)'!C289</f>
        <v>46186</v>
      </c>
      <c r="B298" s="32">
        <f>'Energy Data &amp; SFC Calc (2)'!K289</f>
        <v>58.72</v>
      </c>
      <c r="C298" s="33">
        <f>'Energy Data &amp; SFC Calc (2)'!H289</f>
        <v>92038643.344999999</v>
      </c>
      <c r="D298" s="33">
        <f>'Energy Data &amp; SFC Calc (2)'!J289</f>
        <v>1567.4155883004087</v>
      </c>
      <c r="E298" s="34">
        <f t="shared" si="12"/>
        <v>2.3158702419028954E-2</v>
      </c>
      <c r="F298" s="34">
        <f t="shared" si="13"/>
        <v>1.9403335965333834E-2</v>
      </c>
      <c r="G298" s="34">
        <f t="shared" si="14"/>
        <v>-5.6402649359882373E-3</v>
      </c>
    </row>
    <row r="299" spans="1:7">
      <c r="A299" s="31">
        <f>'Energy Data &amp; SFC Calc (2)'!C290</f>
        <v>46187</v>
      </c>
      <c r="B299" s="32">
        <f>'Energy Data &amp; SFC Calc (2)'!K290</f>
        <v>58.99</v>
      </c>
      <c r="C299" s="33">
        <f>'Energy Data &amp; SFC Calc (2)'!H290</f>
        <v>92903434.776000008</v>
      </c>
      <c r="D299" s="33">
        <f>'Energy Data &amp; SFC Calc (2)'!J290</f>
        <v>1574.9014201729108</v>
      </c>
      <c r="E299" s="34">
        <f t="shared" si="12"/>
        <v>2.7863280921296196E-2</v>
      </c>
      <c r="F299" s="34">
        <f t="shared" si="13"/>
        <v>2.8981609151859766E-2</v>
      </c>
      <c r="G299" s="34">
        <f t="shared" si="14"/>
        <v>-8.9129481406524658E-4</v>
      </c>
    </row>
    <row r="300" spans="1:7">
      <c r="A300" s="31">
        <f>'Energy Data &amp; SFC Calc (2)'!C291</f>
        <v>46188</v>
      </c>
      <c r="B300" s="32">
        <f>'Energy Data &amp; SFC Calc (2)'!K291</f>
        <v>60.418999999999997</v>
      </c>
      <c r="C300" s="33">
        <f>'Energy Data &amp; SFC Calc (2)'!H291</f>
        <v>94182676.719999999</v>
      </c>
      <c r="D300" s="33">
        <f>'Energy Data &amp; SFC Calc (2)'!J291</f>
        <v>1558.8254807262615</v>
      </c>
      <c r="E300" s="34">
        <f t="shared" si="12"/>
        <v>5.276269825366664E-2</v>
      </c>
      <c r="F300" s="34">
        <f t="shared" si="13"/>
        <v>4.3150261120491917E-2</v>
      </c>
      <c r="G300" s="34">
        <f t="shared" si="14"/>
        <v>-1.1089781423738843E-2</v>
      </c>
    </row>
    <row r="301" spans="1:7">
      <c r="A301" s="31">
        <f>'Energy Data &amp; SFC Calc (2)'!C292</f>
        <v>46189</v>
      </c>
      <c r="B301" s="32">
        <f>'Energy Data &amp; SFC Calc (2)'!K292</f>
        <v>61.692</v>
      </c>
      <c r="C301" s="33">
        <f>'Energy Data &amp; SFC Calc (2)'!H292</f>
        <v>94320858.549999997</v>
      </c>
      <c r="D301" s="33">
        <f>'Energy Data &amp; SFC Calc (2)'!J292</f>
        <v>1528.8993475653244</v>
      </c>
      <c r="E301" s="34">
        <f t="shared" si="12"/>
        <v>7.4943914673615941E-2</v>
      </c>
      <c r="F301" s="34">
        <f t="shared" si="13"/>
        <v>4.46807380305414E-2</v>
      </c>
      <c r="G301" s="34">
        <f t="shared" si="14"/>
        <v>-3.0074753924660858E-2</v>
      </c>
    </row>
    <row r="302" spans="1:7">
      <c r="A302" s="31">
        <f>'Energy Data &amp; SFC Calc (2)'!C293</f>
        <v>46190</v>
      </c>
      <c r="B302" s="32">
        <f>'Energy Data &amp; SFC Calc (2)'!K293</f>
        <v>61.813000000000002</v>
      </c>
      <c r="C302" s="33">
        <f>'Energy Data &amp; SFC Calc (2)'!H293</f>
        <v>94531931.290000007</v>
      </c>
      <c r="D302" s="33">
        <f>'Energy Data &amp; SFC Calc (2)'!J293</f>
        <v>1529.3211992622912</v>
      </c>
      <c r="E302" s="34">
        <f t="shared" si="12"/>
        <v>7.705226281722477E-2</v>
      </c>
      <c r="F302" s="34">
        <f t="shared" si="13"/>
        <v>4.7018541451663065E-2</v>
      </c>
      <c r="G302" s="34">
        <f t="shared" si="14"/>
        <v>-2.9807133553418352E-2</v>
      </c>
    </row>
    <row r="303" spans="1:7">
      <c r="A303" s="31">
        <f>'Energy Data &amp; SFC Calc (2)'!C294</f>
        <v>46191</v>
      </c>
      <c r="B303" s="32">
        <f>'Energy Data &amp; SFC Calc (2)'!K294</f>
        <v>58.677</v>
      </c>
      <c r="C303" s="33">
        <f>'Energy Data &amp; SFC Calc (2)'!H294</f>
        <v>92391889.809</v>
      </c>
      <c r="D303" s="33">
        <f>'Energy Data &amp; SFC Calc (2)'!J294</f>
        <v>1574.5844165345877</v>
      </c>
      <c r="E303" s="34">
        <f t="shared" si="12"/>
        <v>2.2409454731630696E-2</v>
      </c>
      <c r="F303" s="34">
        <f t="shared" si="13"/>
        <v>2.3315829791103804E-2</v>
      </c>
      <c r="G303" s="34">
        <f t="shared" si="14"/>
        <v>-1.0924001598141553E-3</v>
      </c>
    </row>
    <row r="304" spans="1:7">
      <c r="A304" s="31">
        <f>'Energy Data &amp; SFC Calc (2)'!C295</f>
        <v>46192</v>
      </c>
      <c r="B304" s="32">
        <f>'Energy Data &amp; SFC Calc (2)'!K295</f>
        <v>57.723999999999997</v>
      </c>
      <c r="C304" s="33">
        <f>'Energy Data &amp; SFC Calc (2)'!H295</f>
        <v>91690728.125</v>
      </c>
      <c r="D304" s="33">
        <f>'Energy Data &amp; SFC Calc (2)'!J295</f>
        <v>1588.4333747661285</v>
      </c>
      <c r="E304" s="34">
        <f t="shared" si="12"/>
        <v>5.8040350551094022E-3</v>
      </c>
      <c r="F304" s="34">
        <f t="shared" si="13"/>
        <v>1.5549890032067637E-2</v>
      </c>
      <c r="G304" s="34">
        <f t="shared" si="14"/>
        <v>7.6933019480482923E-3</v>
      </c>
    </row>
    <row r="305" spans="1:7">
      <c r="A305" s="31">
        <f>'Energy Data &amp; SFC Calc (2)'!C296</f>
        <v>46193</v>
      </c>
      <c r="B305" s="32">
        <f>'Energy Data &amp; SFC Calc (2)'!K296</f>
        <v>52.064</v>
      </c>
      <c r="C305" s="33">
        <f>'Energy Data &amp; SFC Calc (2)'!H296</f>
        <v>87931985.173999995</v>
      </c>
      <c r="D305" s="33">
        <f>'Energy Data &amp; SFC Calc (2)'!J296</f>
        <v>1688.9210428318991</v>
      </c>
      <c r="E305" s="34">
        <f t="shared" si="12"/>
        <v>-9.2817869844272538E-2</v>
      </c>
      <c r="F305" s="34">
        <f t="shared" si="13"/>
        <v>-2.6081265795847242E-2</v>
      </c>
      <c r="G305" s="34">
        <f t="shared" si="14"/>
        <v>7.1442119900935408E-2</v>
      </c>
    </row>
    <row r="306" spans="1:7">
      <c r="A306" s="31">
        <f>'Energy Data &amp; SFC Calc (2)'!C297</f>
        <v>46194</v>
      </c>
      <c r="B306" s="32">
        <f>'Energy Data &amp; SFC Calc (2)'!K297</f>
        <v>51.503</v>
      </c>
      <c r="C306" s="33">
        <f>'Energy Data &amp; SFC Calc (2)'!H297</f>
        <v>86703677.909999996</v>
      </c>
      <c r="D306" s="33">
        <f>'Energy Data &amp; SFC Calc (2)'!J297</f>
        <v>1683.4684952332873</v>
      </c>
      <c r="E306" s="34">
        <f t="shared" si="12"/>
        <v>-0.10259293851009466</v>
      </c>
      <c r="F306" s="34">
        <f t="shared" si="13"/>
        <v>-3.968577447834154E-2</v>
      </c>
      <c r="G306" s="34">
        <f t="shared" si="14"/>
        <v>6.7983054018186051E-2</v>
      </c>
    </row>
    <row r="307" spans="1:7">
      <c r="A307" s="31">
        <f>'Energy Data &amp; SFC Calc (2)'!C298</f>
        <v>46195</v>
      </c>
      <c r="B307" s="32">
        <f>'Energy Data &amp; SFC Calc (2)'!K298</f>
        <v>50.280999999999999</v>
      </c>
      <c r="C307" s="33">
        <f>'Energy Data &amp; SFC Calc (2)'!H298</f>
        <v>87128997.555999994</v>
      </c>
      <c r="D307" s="33">
        <f>'Energy Data &amp; SFC Calc (2)'!J298</f>
        <v>1732.8413825500686</v>
      </c>
      <c r="E307" s="34">
        <f t="shared" si="12"/>
        <v>-0.12388551232406009</v>
      </c>
      <c r="F307" s="34">
        <f t="shared" si="13"/>
        <v>-3.4975011148652091E-2</v>
      </c>
      <c r="G307" s="34">
        <f t="shared" si="14"/>
        <v>9.9304939240020706E-2</v>
      </c>
    </row>
    <row r="308" spans="1:7">
      <c r="A308" s="31">
        <f>'Energy Data &amp; SFC Calc (2)'!C299</f>
        <v>46196</v>
      </c>
      <c r="B308" s="32">
        <f>'Energy Data &amp; SFC Calc (2)'!K299</f>
        <v>51.337000000000003</v>
      </c>
      <c r="C308" s="33">
        <f>'Energy Data &amp; SFC Calc (2)'!H299</f>
        <v>87356185.488000005</v>
      </c>
      <c r="D308" s="33">
        <f>'Energy Data &amp; SFC Calc (2)'!J299</f>
        <v>1701.622328690808</v>
      </c>
      <c r="E308" s="34">
        <f t="shared" si="12"/>
        <v>-0.10548538307074784</v>
      </c>
      <c r="F308" s="34">
        <f t="shared" si="13"/>
        <v>-3.245871878106743E-2</v>
      </c>
      <c r="G308" s="34">
        <f t="shared" si="14"/>
        <v>7.9499745036162972E-2</v>
      </c>
    </row>
    <row r="309" spans="1:7">
      <c r="A309" s="31">
        <f>'Energy Data &amp; SFC Calc (2)'!C300</f>
        <v>46197</v>
      </c>
      <c r="B309" s="32">
        <f>'Energy Data &amp; SFC Calc (2)'!K300</f>
        <v>50.915999999999997</v>
      </c>
      <c r="C309" s="33">
        <f>'Energy Data &amp; SFC Calc (2)'!H300</f>
        <v>86682698.952999994</v>
      </c>
      <c r="D309" s="33">
        <f>'Energy Data &amp; SFC Calc (2)'!J300</f>
        <v>1702.4648234935971</v>
      </c>
      <c r="E309" s="34">
        <f t="shared" si="12"/>
        <v>-0.11282104066132037</v>
      </c>
      <c r="F309" s="34">
        <f t="shared" si="13"/>
        <v>-3.9918133604613271E-2</v>
      </c>
      <c r="G309" s="34">
        <f t="shared" si="14"/>
        <v>8.0034219055145073E-2</v>
      </c>
    </row>
    <row r="310" spans="1:7">
      <c r="A310" s="31">
        <f>'Energy Data &amp; SFC Calc (2)'!C301</f>
        <v>46198</v>
      </c>
      <c r="B310" s="32">
        <f>'Energy Data &amp; SFC Calc (2)'!K301</f>
        <v>47.823999999999998</v>
      </c>
      <c r="C310" s="33">
        <f>'Energy Data &amp; SFC Calc (2)'!H301</f>
        <v>85484674.268999994</v>
      </c>
      <c r="D310" s="33">
        <f>'Energy Data &amp; SFC Calc (2)'!J301</f>
        <v>1787.4848249623619</v>
      </c>
      <c r="E310" s="34">
        <f t="shared" si="12"/>
        <v>-0.16669717669469286</v>
      </c>
      <c r="F310" s="34">
        <f t="shared" si="13"/>
        <v>-5.3187237918337016E-2</v>
      </c>
      <c r="G310" s="34">
        <f t="shared" si="14"/>
        <v>0.13397043531243802</v>
      </c>
    </row>
    <row r="311" spans="1:7">
      <c r="A311" s="31">
        <f>'Energy Data &amp; SFC Calc (2)'!C302</f>
        <v>46199</v>
      </c>
      <c r="B311" s="32">
        <f>'Energy Data &amp; SFC Calc (2)'!K302</f>
        <v>47.957999999999998</v>
      </c>
      <c r="C311" s="33">
        <f>'Energy Data &amp; SFC Calc (2)'!H302</f>
        <v>84661182.050000012</v>
      </c>
      <c r="D311" s="33">
        <f>'Energy Data &amp; SFC Calc (2)'!J302</f>
        <v>1765.3192804120274</v>
      </c>
      <c r="E311" s="34">
        <f t="shared" si="12"/>
        <v>-0.16436231180838246</v>
      </c>
      <c r="F311" s="34">
        <f t="shared" si="13"/>
        <v>-6.2308088516312199E-2</v>
      </c>
      <c r="G311" s="34">
        <f t="shared" si="14"/>
        <v>0.11990873708056116</v>
      </c>
    </row>
    <row r="312" spans="1:7">
      <c r="A312" s="31">
        <f>'Energy Data &amp; SFC Calc (2)'!C303</f>
        <v>46200</v>
      </c>
      <c r="B312" s="32">
        <f>'Energy Data &amp; SFC Calc (2)'!K303</f>
        <v>47.802</v>
      </c>
      <c r="C312" s="33">
        <f>'Energy Data &amp; SFC Calc (2)'!H303</f>
        <v>84785938.538000003</v>
      </c>
      <c r="D312" s="33">
        <f>'Energy Data &amp; SFC Calc (2)'!J303</f>
        <v>1773.6901915819421</v>
      </c>
      <c r="E312" s="34">
        <f t="shared" si="12"/>
        <v>-0.16708051272080349</v>
      </c>
      <c r="F312" s="34">
        <f t="shared" si="13"/>
        <v>-6.0926308261536E-2</v>
      </c>
      <c r="G312" s="34">
        <f t="shared" si="14"/>
        <v>0.12521919658810399</v>
      </c>
    </row>
    <row r="313" spans="1:7">
      <c r="A313" s="31">
        <f>'Energy Data &amp; SFC Calc (2)'!C304</f>
        <v>46201</v>
      </c>
      <c r="B313" s="32">
        <f>'Energy Data &amp; SFC Calc (2)'!K304</f>
        <v>54.497</v>
      </c>
      <c r="C313" s="33">
        <f>'Energy Data &amp; SFC Calc (2)'!H304</f>
        <v>88125790.016000003</v>
      </c>
      <c r="D313" s="33">
        <f>'Energy Data &amp; SFC Calc (2)'!J304</f>
        <v>1617.0759861276767</v>
      </c>
      <c r="E313" s="34">
        <f t="shared" si="12"/>
        <v>-5.042439022939682E-2</v>
      </c>
      <c r="F313" s="34">
        <f t="shared" si="13"/>
        <v>-2.3934718483969997E-2</v>
      </c>
      <c r="G313" s="34">
        <f t="shared" si="14"/>
        <v>2.5864015355264947E-2</v>
      </c>
    </row>
    <row r="314" spans="1:7">
      <c r="A314" s="31">
        <f>'Energy Data &amp; SFC Calc (2)'!C305</f>
        <v>46202</v>
      </c>
      <c r="B314" s="32">
        <f>'Energy Data &amp; SFC Calc (2)'!K305</f>
        <v>57.343000000000004</v>
      </c>
      <c r="C314" s="33">
        <f>'Energy Data &amp; SFC Calc (2)'!H305</f>
        <v>98363971.710999995</v>
      </c>
      <c r="D314" s="33">
        <f>'Energy Data &amp; SFC Calc (2)'!J305</f>
        <v>1715.3614514587655</v>
      </c>
      <c r="E314" s="34">
        <f t="shared" si="12"/>
        <v>-8.3464794253451657E-4</v>
      </c>
      <c r="F314" s="34">
        <f t="shared" si="13"/>
        <v>8.9461526775540312E-2</v>
      </c>
      <c r="G314" s="34">
        <f t="shared" si="14"/>
        <v>8.8215768136566064E-2</v>
      </c>
    </row>
    <row r="315" spans="1:7">
      <c r="A315" s="31">
        <f>'Energy Data &amp; SFC Calc (2)'!C306</f>
        <v>46203</v>
      </c>
      <c r="B315" s="32">
        <f>'Energy Data &amp; SFC Calc (2)'!K306</f>
        <v>60.555999999999997</v>
      </c>
      <c r="C315" s="33">
        <f>'Energy Data &amp; SFC Calc (2)'!H306</f>
        <v>93317319.719999999</v>
      </c>
      <c r="D315" s="33">
        <f>'Energy Data &amp; SFC Calc (2)'!J306</f>
        <v>1541.0086485236804</v>
      </c>
      <c r="E315" s="34">
        <f t="shared" si="12"/>
        <v>5.5149836234446692E-2</v>
      </c>
      <c r="F315" s="34">
        <f t="shared" si="13"/>
        <v>3.3565723794205082E-2</v>
      </c>
      <c r="G315" s="34">
        <f t="shared" si="14"/>
        <v>-2.239268071916356E-2</v>
      </c>
    </row>
    <row r="316" spans="1:7">
      <c r="A316" s="31">
        <f>'Energy Data &amp; SFC Calc (2)'!C307</f>
        <v>46204</v>
      </c>
      <c r="B316" s="32">
        <f>'Energy Data &amp; SFC Calc (2)'!K307</f>
        <v>60.985999999999997</v>
      </c>
      <c r="C316" s="33">
        <f>'Energy Data &amp; SFC Calc (2)'!H307</f>
        <v>93271915.228</v>
      </c>
      <c r="D316" s="33">
        <f>'Energy Data &amp; SFC Calc (2)'!J307</f>
        <v>1529.3988001836487</v>
      </c>
      <c r="E316" s="34">
        <f t="shared" si="12"/>
        <v>6.2642313108427938E-2</v>
      </c>
      <c r="F316" s="34">
        <f t="shared" si="13"/>
        <v>3.3062831868265752E-2</v>
      </c>
      <c r="G316" s="34">
        <f t="shared" si="14"/>
        <v>-2.9757903960336729E-2</v>
      </c>
    </row>
    <row r="317" spans="1:7">
      <c r="A317" s="31">
        <f>'Energy Data &amp; SFC Calc (2)'!C308</f>
        <v>46205</v>
      </c>
      <c r="B317" s="32">
        <f>'Energy Data &amp; SFC Calc (2)'!K308</f>
        <v>60.777999999999999</v>
      </c>
      <c r="C317" s="33">
        <f>'Energy Data &amp; SFC Calc (2)'!H308</f>
        <v>94260513.241999999</v>
      </c>
      <c r="D317" s="33">
        <f>'Energy Data &amp; SFC Calc (2)'!J308</f>
        <v>1550.8985692520321</v>
      </c>
      <c r="E317" s="34">
        <f t="shared" si="12"/>
        <v>5.9018045225199822E-2</v>
      </c>
      <c r="F317" s="34">
        <f t="shared" si="13"/>
        <v>4.4012364333914089E-2</v>
      </c>
      <c r="G317" s="34">
        <f t="shared" si="14"/>
        <v>-1.6118569992785492E-2</v>
      </c>
    </row>
    <row r="318" spans="1:7">
      <c r="A318" s="31">
        <f>'Energy Data &amp; SFC Calc (2)'!C309</f>
        <v>46206</v>
      </c>
      <c r="B318" s="32">
        <f>'Energy Data &amp; SFC Calc (2)'!K309</f>
        <v>62.137999999999998</v>
      </c>
      <c r="C318" s="33">
        <f>'Energy Data &amp; SFC Calc (2)'!H309</f>
        <v>94702462.612000003</v>
      </c>
      <c r="D318" s="33">
        <f>'Energy Data &amp; SFC Calc (2)'!J309</f>
        <v>1524.066796678361</v>
      </c>
      <c r="E318" s="34">
        <f t="shared" si="12"/>
        <v>8.2715181384768632E-2</v>
      </c>
      <c r="F318" s="34">
        <f t="shared" si="13"/>
        <v>4.8907315473263546E-2</v>
      </c>
      <c r="G318" s="34">
        <f t="shared" si="14"/>
        <v>-3.3140497340454433E-2</v>
      </c>
    </row>
    <row r="319" spans="1:7">
      <c r="A319" s="31">
        <f>'Energy Data &amp; SFC Calc (2)'!C310</f>
        <v>46207</v>
      </c>
      <c r="B319" s="32">
        <f>'Energy Data &amp; SFC Calc (2)'!K310</f>
        <v>61.61</v>
      </c>
      <c r="C319" s="33">
        <f>'Energy Data &amp; SFC Calc (2)'!H310</f>
        <v>95529397.805999994</v>
      </c>
      <c r="D319" s="33">
        <f>'Energy Data &amp; SFC Calc (2)'!J310</f>
        <v>1550.5501997403019</v>
      </c>
      <c r="E319" s="34">
        <f t="shared" si="12"/>
        <v>7.3515116758112509E-2</v>
      </c>
      <c r="F319" s="34">
        <f t="shared" si="13"/>
        <v>5.8066299838459789E-2</v>
      </c>
      <c r="G319" s="34">
        <f t="shared" si="14"/>
        <v>-1.6339573674243102E-2</v>
      </c>
    </row>
    <row r="320" spans="1:7">
      <c r="A320" s="31">
        <f>'Energy Data &amp; SFC Calc (2)'!C311</f>
        <v>46208</v>
      </c>
      <c r="B320" s="32">
        <f>'Energy Data &amp; SFC Calc (2)'!K311</f>
        <v>57.999000000000002</v>
      </c>
      <c r="C320" s="33">
        <f>'Energy Data &amp; SFC Calc (2)'!H311</f>
        <v>91966075.821999997</v>
      </c>
      <c r="D320" s="33">
        <f>'Energy Data &amp; SFC Calc (2)'!J311</f>
        <v>1585.6493357126847</v>
      </c>
      <c r="E320" s="34">
        <f t="shared" si="12"/>
        <v>1.0595735381492721E-2</v>
      </c>
      <c r="F320" s="34">
        <f t="shared" si="13"/>
        <v>1.8599591230074486E-2</v>
      </c>
      <c r="G320" s="34">
        <f t="shared" si="14"/>
        <v>5.927123050598393E-3</v>
      </c>
    </row>
    <row r="321" spans="1:7">
      <c r="A321" s="31">
        <f>'Energy Data &amp; SFC Calc (2)'!C312</f>
        <v>46209</v>
      </c>
      <c r="B321" s="32">
        <f>'Energy Data &amp; SFC Calc (2)'!K312</f>
        <v>58.427</v>
      </c>
      <c r="C321" s="33">
        <f>'Energy Data &amp; SFC Calc (2)'!H312</f>
        <v>93435044.960999995</v>
      </c>
      <c r="D321" s="33">
        <f>'Energy Data &amp; SFC Calc (2)'!J312</f>
        <v>1599.1758084618411</v>
      </c>
      <c r="E321" s="34">
        <f t="shared" si="12"/>
        <v>1.8053363525827537E-2</v>
      </c>
      <c r="F321" s="34">
        <f t="shared" si="13"/>
        <v>3.486962723129583E-2</v>
      </c>
      <c r="G321" s="34">
        <f t="shared" si="14"/>
        <v>1.4508242161316298E-2</v>
      </c>
    </row>
    <row r="322" spans="1:7">
      <c r="A322" s="31">
        <f>'Energy Data &amp; SFC Calc (2)'!C313</f>
        <v>46210</v>
      </c>
      <c r="B322" s="32">
        <f>'Energy Data &amp; SFC Calc (2)'!K313</f>
        <v>58.850999999999999</v>
      </c>
      <c r="C322" s="33">
        <f>'Energy Data &amp; SFC Calc (2)'!H313</f>
        <v>93193132.780000001</v>
      </c>
      <c r="D322" s="33">
        <f>'Energy Data &amp; SFC Calc (2)'!J313</f>
        <v>1583.5437423323308</v>
      </c>
      <c r="E322" s="34">
        <f t="shared" si="12"/>
        <v>2.5441294210869714E-2</v>
      </c>
      <c r="F322" s="34">
        <f t="shared" si="13"/>
        <v>3.2190251749872667E-2</v>
      </c>
      <c r="G322" s="34">
        <f t="shared" si="14"/>
        <v>4.5913463162918777E-3</v>
      </c>
    </row>
    <row r="323" spans="1:7">
      <c r="A323" s="31">
        <f>'Energy Data &amp; SFC Calc (2)'!C314</f>
        <v>46211</v>
      </c>
      <c r="B323" s="32">
        <f>'Energy Data &amp; SFC Calc (2)'!K314</f>
        <v>59.34</v>
      </c>
      <c r="C323" s="33">
        <f>'Energy Data &amp; SFC Calc (2)'!H314</f>
        <v>93407849.091000006</v>
      </c>
      <c r="D323" s="33">
        <f>'Energy Data &amp; SFC Calc (2)'!J314</f>
        <v>1574.1127248230537</v>
      </c>
      <c r="E323" s="34">
        <f t="shared" si="12"/>
        <v>3.3961808609420663E-2</v>
      </c>
      <c r="F323" s="34">
        <f t="shared" si="13"/>
        <v>3.4568410703162744E-2</v>
      </c>
      <c r="G323" s="34">
        <f t="shared" si="14"/>
        <v>-1.3916387592091128E-3</v>
      </c>
    </row>
    <row r="324" spans="1:7">
      <c r="A324" s="31">
        <f>'Energy Data &amp; SFC Calc (2)'!C315</f>
        <v>46212</v>
      </c>
      <c r="B324" s="32">
        <f>'Energy Data &amp; SFC Calc (2)'!K315</f>
        <v>57.472000000000001</v>
      </c>
      <c r="C324" s="33">
        <f>'Energy Data &amp; SFC Calc (2)'!H315</f>
        <v>92828348.104000002</v>
      </c>
      <c r="D324" s="33">
        <f>'Energy Data &amp; SFC Calc (2)'!J315</f>
        <v>1615.1925825445435</v>
      </c>
      <c r="E324" s="34">
        <f t="shared" si="12"/>
        <v>1.4130951196598129E-3</v>
      </c>
      <c r="F324" s="34">
        <f t="shared" si="13"/>
        <v>2.8149962778755144E-2</v>
      </c>
      <c r="G324" s="34">
        <f t="shared" si="14"/>
        <v>2.4669194593035737E-2</v>
      </c>
    </row>
    <row r="325" spans="1:7">
      <c r="A325" s="31">
        <f>'Energy Data &amp; SFC Calc (2)'!C316</f>
        <v>46213</v>
      </c>
      <c r="B325" s="32">
        <f>'Energy Data &amp; SFC Calc (2)'!K316</f>
        <v>59.014000000000003</v>
      </c>
      <c r="C325" s="33">
        <f>'Energy Data &amp; SFC Calc (2)'!H316</f>
        <v>93351902.487999991</v>
      </c>
      <c r="D325" s="33">
        <f>'Energy Data &amp; SFC Calc (2)'!J316</f>
        <v>1581.8602787135255</v>
      </c>
      <c r="E325" s="34">
        <f t="shared" si="12"/>
        <v>2.8281465677053363E-2</v>
      </c>
      <c r="F325" s="34">
        <f t="shared" si="13"/>
        <v>3.3948756266054536E-2</v>
      </c>
      <c r="G325" s="34">
        <f t="shared" si="14"/>
        <v>3.5233663558524864E-3</v>
      </c>
    </row>
    <row r="326" spans="1:7">
      <c r="A326" s="31">
        <f>'Energy Data &amp; SFC Calc (2)'!C317</f>
        <v>46214</v>
      </c>
      <c r="B326" s="32">
        <f>'Energy Data &amp; SFC Calc (2)'!K317</f>
        <v>60.319000000000003</v>
      </c>
      <c r="C326" s="33">
        <f>'Energy Data &amp; SFC Calc (2)'!H317</f>
        <v>94349538.17400001</v>
      </c>
      <c r="D326" s="33">
        <f>'Energy Data &amp; SFC Calc (2)'!J317</f>
        <v>1564.1760999685009</v>
      </c>
      <c r="E326" s="34">
        <f t="shared" si="12"/>
        <v>5.1020261771345554E-2</v>
      </c>
      <c r="F326" s="34">
        <f t="shared" si="13"/>
        <v>4.4998388349117402E-2</v>
      </c>
      <c r="G326" s="34">
        <f t="shared" si="14"/>
        <v>-7.6953783235944595E-3</v>
      </c>
    </row>
    <row r="327" spans="1:7">
      <c r="A327" s="31">
        <f>'Energy Data &amp; SFC Calc (2)'!C318</f>
        <v>46215</v>
      </c>
      <c r="B327" s="32">
        <f>'Energy Data &amp; SFC Calc (2)'!K318</f>
        <v>57.701999999999998</v>
      </c>
      <c r="C327" s="33">
        <f>'Energy Data &amp; SFC Calc (2)'!H318</f>
        <v>94185761.734999999</v>
      </c>
      <c r="D327" s="33">
        <f>'Energy Data &amp; SFC Calc (2)'!J318</f>
        <v>1632.2789805379364</v>
      </c>
      <c r="E327" s="34">
        <f t="shared" si="12"/>
        <v>5.4206990289986656E-3</v>
      </c>
      <c r="F327" s="34">
        <f t="shared" si="13"/>
        <v>4.3184430187616529E-2</v>
      </c>
      <c r="G327" s="34">
        <f t="shared" si="14"/>
        <v>3.5508710487050399E-2</v>
      </c>
    </row>
    <row r="328" spans="1:7">
      <c r="A328" s="31">
        <f>'Energy Data &amp; SFC Calc (2)'!C319</f>
        <v>46216</v>
      </c>
      <c r="B328" s="32">
        <f>'Energy Data &amp; SFC Calc (2)'!K319</f>
        <v>55.874000000000002</v>
      </c>
      <c r="C328" s="33">
        <f>'Energy Data &amp; SFC Calc (2)'!H319</f>
        <v>91502168.973999992</v>
      </c>
      <c r="D328" s="33">
        <f>'Energy Data &amp; SFC Calc (2)'!J319</f>
        <v>1637.6520201524859</v>
      </c>
      <c r="E328" s="34">
        <f t="shared" si="12"/>
        <v>-2.6431039867833461E-2</v>
      </c>
      <c r="F328" s="34">
        <f t="shared" si="13"/>
        <v>1.3461443043168986E-2</v>
      </c>
      <c r="G328" s="34">
        <f t="shared" si="14"/>
        <v>3.8917336946740599E-2</v>
      </c>
    </row>
    <row r="329" spans="1:7">
      <c r="A329" s="31">
        <f>'Energy Data &amp; SFC Calc (2)'!C320</f>
        <v>46217</v>
      </c>
      <c r="B329" s="32">
        <f>'Energy Data &amp; SFC Calc (2)'!K320</f>
        <v>51.279000000000003</v>
      </c>
      <c r="C329" s="33">
        <f>'Energy Data &amp; SFC Calc (2)'!H320</f>
        <v>88298173.245000005</v>
      </c>
      <c r="D329" s="33">
        <f>'Energy Data &amp; SFC Calc (2)'!J320</f>
        <v>1721.9168323290237</v>
      </c>
      <c r="E329" s="34">
        <f t="shared" si="12"/>
        <v>-0.10649599623049411</v>
      </c>
      <c r="F329" s="34">
        <f t="shared" si="13"/>
        <v>-2.2025433076009571E-2</v>
      </c>
      <c r="G329" s="34">
        <f t="shared" si="14"/>
        <v>9.2374465315571141E-2</v>
      </c>
    </row>
    <row r="330" spans="1:7">
      <c r="A330" s="31">
        <f>'Energy Data &amp; SFC Calc (2)'!C321</f>
        <v>46218</v>
      </c>
      <c r="B330" s="32">
        <f>'Energy Data &amp; SFC Calc (2)'!K321</f>
        <v>54.393999999999998</v>
      </c>
      <c r="C330" s="33">
        <f>'Energy Data &amp; SFC Calc (2)'!H321</f>
        <v>89686894.239999995</v>
      </c>
      <c r="D330" s="33">
        <f>'Energy Data &amp; SFC Calc (2)'!J321</f>
        <v>1648.8380012501377</v>
      </c>
      <c r="E330" s="34">
        <f t="shared" si="12"/>
        <v>-5.2219099806187774E-2</v>
      </c>
      <c r="F330" s="34">
        <f t="shared" si="13"/>
        <v>-6.6442109764881518E-3</v>
      </c>
      <c r="G330" s="34">
        <f t="shared" si="14"/>
        <v>4.6013661165866804E-2</v>
      </c>
    </row>
    <row r="331" spans="1:7">
      <c r="A331" s="31">
        <f>'Energy Data &amp; SFC Calc (2)'!C322</f>
        <v>46219</v>
      </c>
      <c r="B331" s="32">
        <f>'Energy Data &amp; SFC Calc (2)'!K322</f>
        <v>50.511000000000003</v>
      </c>
      <c r="C331" s="33">
        <f>'Energy Data &amp; SFC Calc (2)'!H322</f>
        <v>89001325.172000006</v>
      </c>
      <c r="D331" s="33">
        <f>'Energy Data &amp; SFC Calc (2)'!J322</f>
        <v>1762.0186726059671</v>
      </c>
      <c r="E331" s="34">
        <f t="shared" si="12"/>
        <v>-0.11987790841472123</v>
      </c>
      <c r="F331" s="34">
        <f t="shared" si="13"/>
        <v>-1.4237449746144604E-2</v>
      </c>
      <c r="G331" s="34">
        <f t="shared" si="14"/>
        <v>0.11781484983835044</v>
      </c>
    </row>
    <row r="332" spans="1:7">
      <c r="A332" s="31">
        <f>'Energy Data &amp; SFC Calc (2)'!C323</f>
        <v>46220</v>
      </c>
      <c r="B332" s="32">
        <f>'Energy Data &amp; SFC Calc (2)'!K323</f>
        <v>51.271999999999998</v>
      </c>
      <c r="C332" s="33">
        <f>'Energy Data &amp; SFC Calc (2)'!H323</f>
        <v>86956464.351999998</v>
      </c>
      <c r="D332" s="33">
        <f>'Energy Data &amp; SFC Calc (2)'!J323</f>
        <v>1695.9834676236542</v>
      </c>
      <c r="E332" s="34">
        <f t="shared" si="12"/>
        <v>-0.10661796678425672</v>
      </c>
      <c r="F332" s="34">
        <f t="shared" si="13"/>
        <v>-3.6885957652536439E-2</v>
      </c>
      <c r="G332" s="34">
        <f t="shared" si="14"/>
        <v>7.5922482924792867E-2</v>
      </c>
    </row>
    <row r="333" spans="1:7">
      <c r="A333" s="31">
        <f>'Energy Data &amp; SFC Calc (2)'!C324</f>
        <v>46221</v>
      </c>
      <c r="B333" s="32">
        <f>'Energy Data &amp; SFC Calc (2)'!K324</f>
        <v>49.514000000000003</v>
      </c>
      <c r="C333" s="33">
        <f>'Energy Data &amp; SFC Calc (2)'!H324</f>
        <v>86935843.420000002</v>
      </c>
      <c r="D333" s="33">
        <f>'Energy Data &amp; SFC Calc (2)'!J324</f>
        <v>1755.7830799369876</v>
      </c>
      <c r="E333" s="34">
        <f t="shared" ref="E333:E346" si="15">B333/$B$8-1</f>
        <v>-0.13725000014346389</v>
      </c>
      <c r="F333" s="34">
        <f t="shared" ref="F333:F346" si="16">C333/$B$9-1</f>
        <v>-3.7114351358783493E-2</v>
      </c>
      <c r="G333" s="34">
        <f t="shared" ref="G333:G346" si="17">D333/$B$10-1</f>
        <v>0.11385902451635221</v>
      </c>
    </row>
    <row r="334" spans="1:7">
      <c r="A334" s="31">
        <f>'Energy Data &amp; SFC Calc (2)'!C325</f>
        <v>46222</v>
      </c>
      <c r="B334" s="32">
        <f>'Energy Data &amp; SFC Calc (2)'!K325</f>
        <v>50.935000000000002</v>
      </c>
      <c r="C334" s="33">
        <f>'Energy Data &amp; SFC Calc (2)'!H325</f>
        <v>87776056.023000002</v>
      </c>
      <c r="D334" s="33">
        <f>'Energy Data &amp; SFC Calc (2)'!J325</f>
        <v>1723.2954947089429</v>
      </c>
      <c r="E334" s="34">
        <f t="shared" si="15"/>
        <v>-0.11248997772967917</v>
      </c>
      <c r="F334" s="34">
        <f t="shared" si="16"/>
        <v>-2.7808308817416028E-2</v>
      </c>
      <c r="G334" s="34">
        <f t="shared" si="17"/>
        <v>9.3249081064624484E-2</v>
      </c>
    </row>
    <row r="335" spans="1:7">
      <c r="A335" s="31">
        <f>'Energy Data &amp; SFC Calc (2)'!C326</f>
        <v>46223</v>
      </c>
      <c r="B335" s="32">
        <f>'Energy Data &amp; SFC Calc (2)'!K326</f>
        <v>52.368000000000002</v>
      </c>
      <c r="C335" s="33">
        <f>'Energy Data &amp; SFC Calc (2)'!H326</f>
        <v>88489000.966000006</v>
      </c>
      <c r="D335" s="33">
        <f>'Energy Data &amp; SFC Calc (2)'!J326</f>
        <v>1689.7533028948978</v>
      </c>
      <c r="E335" s="34">
        <f t="shared" si="15"/>
        <v>-8.7520862938015864E-2</v>
      </c>
      <c r="F335" s="34">
        <f t="shared" si="16"/>
        <v>-1.9911859816863609E-2</v>
      </c>
      <c r="G335" s="34">
        <f t="shared" si="17"/>
        <v>7.1970101057895253E-2</v>
      </c>
    </row>
    <row r="336" spans="1:7">
      <c r="A336" s="31">
        <f>'Energy Data &amp; SFC Calc (2)'!C327</f>
        <v>46224</v>
      </c>
      <c r="B336" s="32">
        <f>'Energy Data &amp; SFC Calc (2)'!K327</f>
        <v>52.091999999999999</v>
      </c>
      <c r="C336" s="33">
        <f>'Energy Data &amp; SFC Calc (2)'!H327</f>
        <v>89199333.162</v>
      </c>
      <c r="D336" s="33">
        <f>'Energy Data &amp; SFC Calc (2)'!J327</f>
        <v>1712.3422629578438</v>
      </c>
      <c r="E336" s="34">
        <f t="shared" si="15"/>
        <v>-9.2329987629222621E-2</v>
      </c>
      <c r="F336" s="34">
        <f t="shared" si="16"/>
        <v>-1.2044349128644494E-2</v>
      </c>
      <c r="G336" s="34">
        <f t="shared" si="17"/>
        <v>8.6300411736965454E-2</v>
      </c>
    </row>
    <row r="337" spans="1:7">
      <c r="A337" s="31">
        <f>'Energy Data &amp; SFC Calc (2)'!C328</f>
        <v>46225</v>
      </c>
      <c r="B337" s="32">
        <f>'Energy Data &amp; SFC Calc (2)'!K328</f>
        <v>52.137999999999998</v>
      </c>
      <c r="C337" s="33">
        <f>'Energy Data &amp; SFC Calc (2)'!H328</f>
        <v>89286059.175999999</v>
      </c>
      <c r="D337" s="33">
        <f>'Energy Data &amp; SFC Calc (2)'!J328</f>
        <v>1712.4949015305535</v>
      </c>
      <c r="E337" s="34">
        <f t="shared" si="15"/>
        <v>-9.1528466847354828E-2</v>
      </c>
      <c r="F337" s="34">
        <f t="shared" si="16"/>
        <v>-1.1083787512637389E-2</v>
      </c>
      <c r="G337" s="34">
        <f t="shared" si="17"/>
        <v>8.6397244798887884E-2</v>
      </c>
    </row>
    <row r="338" spans="1:7">
      <c r="A338" s="31">
        <f>'Energy Data &amp; SFC Calc (2)'!C329</f>
        <v>46226</v>
      </c>
      <c r="B338" s="32">
        <f>'Energy Data &amp; SFC Calc (2)'!K329</f>
        <v>51.335999999999999</v>
      </c>
      <c r="C338" s="33">
        <f>'Energy Data &amp; SFC Calc (2)'!H329</f>
        <v>89434197.5</v>
      </c>
      <c r="D338" s="33">
        <f>'Energy Data &amp; SFC Calc (2)'!J329</f>
        <v>1742.134126149291</v>
      </c>
      <c r="E338" s="34">
        <f t="shared" si="15"/>
        <v>-0.10550280743557117</v>
      </c>
      <c r="F338" s="34">
        <f t="shared" si="16"/>
        <v>-9.4430342791955724E-3</v>
      </c>
      <c r="G338" s="34">
        <f t="shared" si="17"/>
        <v>0.10520020411572606</v>
      </c>
    </row>
    <row r="339" spans="1:7">
      <c r="A339" s="31">
        <f>'Energy Data &amp; SFC Calc (2)'!C330</f>
        <v>46227</v>
      </c>
      <c r="B339" s="32">
        <f>'Energy Data &amp; SFC Calc (2)'!K330</f>
        <v>53.14</v>
      </c>
      <c r="C339" s="33">
        <f>'Energy Data &amp; SFC Calc (2)'!H330</f>
        <v>89046792.575000003</v>
      </c>
      <c r="D339" s="33">
        <f>'Energy Data &amp; SFC Calc (2)'!J330</f>
        <v>1675.7017797327815</v>
      </c>
      <c r="E339" s="34">
        <f t="shared" si="15"/>
        <v>-7.4069253294495985E-2</v>
      </c>
      <c r="F339" s="34">
        <f t="shared" si="16"/>
        <v>-1.373386102936891E-2</v>
      </c>
      <c r="G339" s="34">
        <f t="shared" si="17"/>
        <v>6.3055892884249065E-2</v>
      </c>
    </row>
    <row r="340" spans="1:7">
      <c r="A340" s="31">
        <f>'Energy Data &amp; SFC Calc (2)'!C331</f>
        <v>46228</v>
      </c>
      <c r="B340" s="32">
        <f>'Energy Data &amp; SFC Calc (2)'!K331</f>
        <v>51.49</v>
      </c>
      <c r="C340" s="33">
        <f>'Energy Data &amp; SFC Calc (2)'!H331</f>
        <v>88175007.75999999</v>
      </c>
      <c r="D340" s="33">
        <f>'Energy Data &amp; SFC Calc (2)'!J331</f>
        <v>1712.4685911827537</v>
      </c>
      <c r="E340" s="34">
        <f t="shared" si="15"/>
        <v>-0.10281945525279634</v>
      </c>
      <c r="F340" s="34">
        <f t="shared" si="16"/>
        <v>-2.3389591669853327E-2</v>
      </c>
      <c r="G340" s="34">
        <f t="shared" si="17"/>
        <v>8.6380553660518E-2</v>
      </c>
    </row>
    <row r="341" spans="1:7">
      <c r="A341" s="31">
        <f>'Energy Data &amp; SFC Calc (2)'!C332</f>
        <v>46229</v>
      </c>
      <c r="B341" s="32">
        <f>'Energy Data &amp; SFC Calc (2)'!K332</f>
        <v>52.012</v>
      </c>
      <c r="C341" s="33">
        <f>'Energy Data &amp; SFC Calc (2)'!H332</f>
        <v>88342309.449000001</v>
      </c>
      <c r="D341" s="33">
        <f>'Energy Data &amp; SFC Calc (2)'!J332</f>
        <v>1698.4986051103592</v>
      </c>
      <c r="E341" s="34">
        <f t="shared" si="15"/>
        <v>-9.3723936815079512E-2</v>
      </c>
      <c r="F341" s="34">
        <f t="shared" si="16"/>
        <v>-2.1536588478140106E-2</v>
      </c>
      <c r="G341" s="34">
        <f t="shared" si="17"/>
        <v>7.7518072163280438E-2</v>
      </c>
    </row>
    <row r="342" spans="1:7">
      <c r="A342" s="31">
        <f>'Energy Data &amp; SFC Calc (2)'!C333</f>
        <v>46230</v>
      </c>
      <c r="B342" s="32">
        <f>'Energy Data &amp; SFC Calc (2)'!K333</f>
        <v>53.93</v>
      </c>
      <c r="C342" s="33">
        <f>'Energy Data &amp; SFC Calc (2)'!H333</f>
        <v>88523415.255999997</v>
      </c>
      <c r="D342" s="33">
        <f>'Energy Data &amp; SFC Calc (2)'!J333</f>
        <v>1641.4503106990542</v>
      </c>
      <c r="E342" s="34">
        <f t="shared" si="15"/>
        <v>-6.030400508415823E-2</v>
      </c>
      <c r="F342" s="34">
        <f t="shared" si="16"/>
        <v>-1.9530693376813346E-2</v>
      </c>
      <c r="G342" s="34">
        <f t="shared" si="17"/>
        <v>4.1326951352628427E-2</v>
      </c>
    </row>
    <row r="343" spans="1:7">
      <c r="A343" s="31">
        <f>'Energy Data &amp; SFC Calc (2)'!C334</f>
        <v>46231</v>
      </c>
      <c r="B343" s="32">
        <f>'Energy Data &amp; SFC Calc (2)'!K334</f>
        <v>52.271000000000001</v>
      </c>
      <c r="C343" s="33">
        <f>'Energy Data &amp; SFC Calc (2)'!H334</f>
        <v>87701611.436999992</v>
      </c>
      <c r="D343" s="33">
        <f>'Energy Data &amp; SFC Calc (2)'!J334</f>
        <v>1677.8253991123183</v>
      </c>
      <c r="E343" s="34">
        <f t="shared" si="15"/>
        <v>-8.9211026325867526E-2</v>
      </c>
      <c r="F343" s="34">
        <f t="shared" si="16"/>
        <v>-2.8632843562332866E-2</v>
      </c>
      <c r="G343" s="34">
        <f t="shared" si="17"/>
        <v>6.4403105212220702E-2</v>
      </c>
    </row>
    <row r="344" spans="1:7">
      <c r="A344" s="31">
        <f>'Energy Data &amp; SFC Calc (2)'!C335</f>
        <v>46232</v>
      </c>
      <c r="B344" s="32">
        <f>'Energy Data &amp; SFC Calc (2)'!K335</f>
        <v>49.73</v>
      </c>
      <c r="C344" s="33">
        <f>'Energy Data &amp; SFC Calc (2)'!H335</f>
        <v>87113649.704999998</v>
      </c>
      <c r="D344" s="33">
        <f>'Energy Data &amp; SFC Calc (2)'!J335</f>
        <v>1751.7323487834306</v>
      </c>
      <c r="E344" s="34">
        <f t="shared" si="15"/>
        <v>-0.13348633734165016</v>
      </c>
      <c r="F344" s="34">
        <f t="shared" si="16"/>
        <v>-3.5145001165243883E-2</v>
      </c>
      <c r="G344" s="34">
        <f t="shared" si="17"/>
        <v>0.11128926319285148</v>
      </c>
    </row>
    <row r="345" spans="1:7">
      <c r="A345" s="31">
        <f>'Energy Data &amp; SFC Calc (2)'!C336</f>
        <v>46233</v>
      </c>
      <c r="B345" s="32">
        <f>'Energy Data &amp; SFC Calc (2)'!K336</f>
        <v>51.78</v>
      </c>
      <c r="C345" s="33">
        <f>'Energy Data &amp; SFC Calc (2)'!H336</f>
        <v>87176469.112000003</v>
      </c>
      <c r="D345" s="33">
        <f>'Energy Data &amp; SFC Calc (2)'!J336</f>
        <v>1683.593455233681</v>
      </c>
      <c r="E345" s="34">
        <f t="shared" si="15"/>
        <v>-9.7766389454064795E-2</v>
      </c>
      <c r="F345" s="34">
        <f t="shared" si="16"/>
        <v>-3.4449224796407885E-2</v>
      </c>
      <c r="G345" s="34">
        <f t="shared" si="17"/>
        <v>6.8062327947712165E-2</v>
      </c>
    </row>
    <row r="346" spans="1:7">
      <c r="A346" s="35">
        <f>'Energy Data &amp; SFC Calc (2)'!C337</f>
        <v>46234</v>
      </c>
      <c r="B346" s="36">
        <f>'Energy Data &amp; SFC Calc (2)'!K337</f>
        <v>54.762</v>
      </c>
      <c r="C346" s="37">
        <f>'Energy Data &amp; SFC Calc (2)'!H337</f>
        <v>91175542.640000001</v>
      </c>
      <c r="D346" s="37">
        <f>'Energy Data &amp; SFC Calc (2)'!J337</f>
        <v>1664.9417961360068</v>
      </c>
      <c r="E346" s="38">
        <f t="shared" si="15"/>
        <v>-4.5806933551245543E-2</v>
      </c>
      <c r="F346" s="38">
        <f t="shared" si="16"/>
        <v>9.8437889536184819E-3</v>
      </c>
      <c r="G346" s="38">
        <f t="shared" si="17"/>
        <v>5.6229819111317303E-2</v>
      </c>
    </row>
  </sheetData>
  <mergeCells count="3">
    <mergeCell ref="A1:G1"/>
    <mergeCell ref="A2:G2"/>
    <mergeCell ref="A4:G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CC29-5EA2-4706-A5AC-048D36D0FEEF}">
  <dimension ref="B1:N338"/>
  <sheetViews>
    <sheetView workbookViewId="0">
      <pane xSplit="3" ySplit="3" topLeftCell="D271" activePane="bottomRight" state="frozen"/>
      <selection pane="bottomRight" activeCell="B280" sqref="B280"/>
      <selection pane="bottomLeft" activeCell="A4" sqref="A4"/>
      <selection pane="topRight" activeCell="C1" sqref="C1"/>
    </sheetView>
  </sheetViews>
  <sheetFormatPr defaultRowHeight="14.45"/>
  <cols>
    <col min="2" max="2" width="7.42578125" bestFit="1" customWidth="1"/>
    <col min="3" max="3" width="28.7109375" bestFit="1" customWidth="1"/>
    <col min="4" max="4" width="9" bestFit="1" customWidth="1"/>
    <col min="5" max="5" width="10.5703125" bestFit="1" customWidth="1"/>
    <col min="6" max="6" width="13.7109375" bestFit="1" customWidth="1"/>
    <col min="7" max="7" width="14" bestFit="1" customWidth="1"/>
    <col min="8" max="8" width="13.85546875" bestFit="1" customWidth="1"/>
    <col min="9" max="9" width="9.5703125" bestFit="1" customWidth="1"/>
    <col min="10" max="10" width="8.5703125" bestFit="1" customWidth="1"/>
    <col min="11" max="11" width="15.42578125" customWidth="1"/>
    <col min="13" max="13" width="21.7109375" bestFit="1" customWidth="1"/>
    <col min="14" max="14" width="8.5703125" bestFit="1" customWidth="1"/>
  </cols>
  <sheetData>
    <row r="1" spans="2:14" ht="18.600000000000001">
      <c r="C1" s="4" t="s">
        <v>16</v>
      </c>
    </row>
    <row r="3" spans="2:14" ht="29.1">
      <c r="B3" s="13" t="s">
        <v>17</v>
      </c>
      <c r="C3" s="6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16" t="s">
        <v>75</v>
      </c>
    </row>
    <row r="4" spans="2:14">
      <c r="B4" s="12">
        <f>DATE(YEAR(C4),MONTH(C4),1)</f>
        <v>45901</v>
      </c>
      <c r="C4" s="7">
        <v>45901</v>
      </c>
      <c r="D4" s="8">
        <v>7686</v>
      </c>
      <c r="E4" s="9">
        <v>9604.6460000000006</v>
      </c>
      <c r="F4" s="8">
        <v>5358</v>
      </c>
      <c r="G4" s="8">
        <v>13720</v>
      </c>
      <c r="H4" s="10">
        <f>((D4 *(E4))+ ((F4+G4)*860))</f>
        <v>90228389.156000003</v>
      </c>
      <c r="I4" s="14">
        <f>VLOOKUP(C4,'Draw Data'!A:B,2,0)</f>
        <v>60554</v>
      </c>
      <c r="J4" s="10">
        <f>H4/I4</f>
        <v>1490.0483726260859</v>
      </c>
      <c r="K4" s="15">
        <f>I4/1000</f>
        <v>60.554000000000002</v>
      </c>
    </row>
    <row r="5" spans="2:14">
      <c r="B5" s="12">
        <f t="shared" ref="B5:B68" si="0">DATE(YEAR(C5),MONTH(C5),1)</f>
        <v>45901</v>
      </c>
      <c r="C5" s="7">
        <v>45902</v>
      </c>
      <c r="D5" s="8">
        <v>7516</v>
      </c>
      <c r="E5" s="9">
        <v>9630.14</v>
      </c>
      <c r="F5" s="8">
        <v>5678</v>
      </c>
      <c r="G5" s="8">
        <v>11810</v>
      </c>
      <c r="H5" s="10">
        <f t="shared" ref="H5:H68" si="1">((D5 *(E5))+ ((F5+G5)*860))</f>
        <v>87419812.239999995</v>
      </c>
      <c r="I5" s="14">
        <f>VLOOKUP(C5,'Draw Data'!A:B,2,0)</f>
        <v>57841</v>
      </c>
      <c r="J5" s="10">
        <f t="shared" ref="J5:J68" si="2">H5/I5</f>
        <v>1511.3814118013172</v>
      </c>
      <c r="K5" s="15">
        <f t="shared" ref="K5:K68" si="3">I5/1000</f>
        <v>57.841000000000001</v>
      </c>
      <c r="M5" t="s">
        <v>26</v>
      </c>
      <c r="N5" s="10">
        <f>AVERAGE(J4:J337)</f>
        <v>1576.3063738693186</v>
      </c>
    </row>
    <row r="6" spans="2:14">
      <c r="B6" s="12">
        <f t="shared" si="0"/>
        <v>45901</v>
      </c>
      <c r="C6" s="7">
        <v>45903</v>
      </c>
      <c r="D6" s="8">
        <v>7493</v>
      </c>
      <c r="E6" s="9">
        <v>9579.6589999999997</v>
      </c>
      <c r="F6" s="8">
        <v>5487</v>
      </c>
      <c r="G6" s="8">
        <v>13080</v>
      </c>
      <c r="H6" s="10">
        <f t="shared" si="1"/>
        <v>87748004.886999995</v>
      </c>
      <c r="I6" s="14">
        <f>VLOOKUP(C6,'Draw Data'!A:B,2,0)</f>
        <v>60258</v>
      </c>
      <c r="J6" s="10">
        <f t="shared" si="2"/>
        <v>1456.2050663314415</v>
      </c>
      <c r="K6" s="15">
        <f t="shared" si="3"/>
        <v>60.258000000000003</v>
      </c>
    </row>
    <row r="7" spans="2:14">
      <c r="B7" s="12">
        <f t="shared" si="0"/>
        <v>45901</v>
      </c>
      <c r="C7" s="7">
        <v>45904</v>
      </c>
      <c r="D7" s="8">
        <v>7683</v>
      </c>
      <c r="E7" s="9">
        <v>9538.1200000000008</v>
      </c>
      <c r="F7" s="8">
        <v>5456</v>
      </c>
      <c r="G7" s="8">
        <v>12310</v>
      </c>
      <c r="H7" s="10">
        <f t="shared" si="1"/>
        <v>88560135.960000008</v>
      </c>
      <c r="I7" s="14">
        <f>VLOOKUP(C7,'Draw Data'!A:B,2,0)</f>
        <v>59462</v>
      </c>
      <c r="J7" s="10">
        <f t="shared" si="2"/>
        <v>1489.3568322626215</v>
      </c>
      <c r="K7" s="15">
        <f t="shared" si="3"/>
        <v>59.462000000000003</v>
      </c>
      <c r="N7" s="10">
        <f>0.98*N5</f>
        <v>1544.7802463919322</v>
      </c>
    </row>
    <row r="8" spans="2:14">
      <c r="B8" s="12">
        <f t="shared" si="0"/>
        <v>45901</v>
      </c>
      <c r="C8" s="7">
        <v>45905</v>
      </c>
      <c r="D8" s="8">
        <v>7731</v>
      </c>
      <c r="E8" s="9">
        <v>9465.0789999999997</v>
      </c>
      <c r="F8" s="8">
        <v>5520</v>
      </c>
      <c r="G8" s="8">
        <v>10620</v>
      </c>
      <c r="H8" s="10">
        <f t="shared" si="1"/>
        <v>87054925.748999998</v>
      </c>
      <c r="I8" s="14">
        <f>VLOOKUP(C8,'Draw Data'!A:B,2,0)</f>
        <v>56709</v>
      </c>
      <c r="J8" s="10">
        <f t="shared" si="2"/>
        <v>1535.1165731894407</v>
      </c>
      <c r="K8" s="15">
        <f t="shared" si="3"/>
        <v>56.709000000000003</v>
      </c>
    </row>
    <row r="9" spans="2:14">
      <c r="B9" s="12">
        <f t="shared" si="0"/>
        <v>45901</v>
      </c>
      <c r="C9" s="7">
        <v>45906</v>
      </c>
      <c r="D9" s="8">
        <v>7815</v>
      </c>
      <c r="E9" s="9">
        <v>9515.2330000000002</v>
      </c>
      <c r="F9" s="8">
        <v>5599</v>
      </c>
      <c r="G9" s="8">
        <v>9260</v>
      </c>
      <c r="H9" s="10">
        <f t="shared" si="1"/>
        <v>87140285.894999996</v>
      </c>
      <c r="I9" s="14">
        <f>VLOOKUP(C9,'Draw Data'!A:B,2,0)</f>
        <v>55926</v>
      </c>
      <c r="J9" s="10">
        <f t="shared" si="2"/>
        <v>1558.1354986052997</v>
      </c>
      <c r="K9" s="15">
        <f t="shared" si="3"/>
        <v>55.926000000000002</v>
      </c>
    </row>
    <row r="10" spans="2:14">
      <c r="B10" s="12">
        <f t="shared" si="0"/>
        <v>45901</v>
      </c>
      <c r="C10" s="7">
        <v>45907</v>
      </c>
      <c r="D10" s="8">
        <v>7735</v>
      </c>
      <c r="E10" s="9">
        <v>9478.8029999999999</v>
      </c>
      <c r="F10" s="8">
        <v>5298</v>
      </c>
      <c r="G10" s="8">
        <v>9690</v>
      </c>
      <c r="H10" s="10">
        <f t="shared" si="1"/>
        <v>86208221.204999998</v>
      </c>
      <c r="I10" s="14">
        <f>VLOOKUP(C10,'Draw Data'!A:B,2,0)</f>
        <v>55717</v>
      </c>
      <c r="J10" s="10">
        <f t="shared" si="2"/>
        <v>1547.2516683417987</v>
      </c>
      <c r="K10" s="15">
        <f t="shared" si="3"/>
        <v>55.716999999999999</v>
      </c>
    </row>
    <row r="11" spans="2:14">
      <c r="B11" s="12">
        <f t="shared" si="0"/>
        <v>45901</v>
      </c>
      <c r="C11" s="7">
        <v>45908</v>
      </c>
      <c r="D11" s="8">
        <v>7762</v>
      </c>
      <c r="E11" s="9">
        <v>9430.52</v>
      </c>
      <c r="F11" s="8">
        <v>5456</v>
      </c>
      <c r="G11" s="8">
        <v>9930</v>
      </c>
      <c r="H11" s="10">
        <f t="shared" si="1"/>
        <v>86431656.24000001</v>
      </c>
      <c r="I11" s="14">
        <f>VLOOKUP(C11,'Draw Data'!A:B,2,0)</f>
        <v>56409</v>
      </c>
      <c r="J11" s="10">
        <f t="shared" si="2"/>
        <v>1532.2316694144554</v>
      </c>
      <c r="K11" s="15">
        <f t="shared" si="3"/>
        <v>56.408999999999999</v>
      </c>
    </row>
    <row r="12" spans="2:14">
      <c r="B12" s="12">
        <f t="shared" si="0"/>
        <v>45901</v>
      </c>
      <c r="C12" s="7">
        <v>45909</v>
      </c>
      <c r="D12" s="8">
        <v>7614</v>
      </c>
      <c r="E12" s="9">
        <v>9478.4110000000001</v>
      </c>
      <c r="F12" s="8">
        <v>5503</v>
      </c>
      <c r="G12" s="8">
        <v>10530</v>
      </c>
      <c r="H12" s="10">
        <f t="shared" si="1"/>
        <v>85957001.354000002</v>
      </c>
      <c r="I12" s="14">
        <f>VLOOKUP(C12,'Draw Data'!A:B,2,0)</f>
        <v>55777</v>
      </c>
      <c r="J12" s="10">
        <f t="shared" si="2"/>
        <v>1541.0832664718432</v>
      </c>
      <c r="K12" s="15">
        <f t="shared" si="3"/>
        <v>55.777000000000001</v>
      </c>
    </row>
    <row r="13" spans="2:14">
      <c r="B13" s="12">
        <f t="shared" si="0"/>
        <v>45901</v>
      </c>
      <c r="C13" s="7">
        <v>45910</v>
      </c>
      <c r="D13" s="8">
        <v>7663</v>
      </c>
      <c r="E13" s="9">
        <v>9562.6380000000008</v>
      </c>
      <c r="F13" s="8">
        <v>5469</v>
      </c>
      <c r="G13" s="8">
        <v>9450</v>
      </c>
      <c r="H13" s="10">
        <f t="shared" si="1"/>
        <v>86108834.994000003</v>
      </c>
      <c r="I13" s="14">
        <f>VLOOKUP(C13,'Draw Data'!A:B,2,0)</f>
        <v>55489</v>
      </c>
      <c r="J13" s="10">
        <f t="shared" si="2"/>
        <v>1551.8181079853666</v>
      </c>
      <c r="K13" s="15">
        <f t="shared" si="3"/>
        <v>55.488999999999997</v>
      </c>
    </row>
    <row r="14" spans="2:14">
      <c r="B14" s="12">
        <f t="shared" si="0"/>
        <v>45901</v>
      </c>
      <c r="C14" s="7">
        <v>45911</v>
      </c>
      <c r="D14" s="8">
        <v>7640</v>
      </c>
      <c r="E14" s="9">
        <v>9468.8310000000001</v>
      </c>
      <c r="F14" s="8">
        <v>5516</v>
      </c>
      <c r="G14" s="8">
        <v>10300</v>
      </c>
      <c r="H14" s="10">
        <f t="shared" si="1"/>
        <v>85943628.840000004</v>
      </c>
      <c r="I14" s="14">
        <f>VLOOKUP(C14,'Draw Data'!A:B,2,0)</f>
        <v>57154</v>
      </c>
      <c r="J14" s="10">
        <f t="shared" si="2"/>
        <v>1503.7202792455471</v>
      </c>
      <c r="K14" s="15">
        <f t="shared" si="3"/>
        <v>57.154000000000003</v>
      </c>
    </row>
    <row r="15" spans="2:14">
      <c r="B15" s="12">
        <f t="shared" si="0"/>
        <v>45901</v>
      </c>
      <c r="C15" s="7">
        <v>45912</v>
      </c>
      <c r="D15" s="8">
        <v>7634</v>
      </c>
      <c r="E15" s="9">
        <v>9529.8140000000003</v>
      </c>
      <c r="F15" s="8">
        <v>4797</v>
      </c>
      <c r="G15" s="8">
        <v>11380</v>
      </c>
      <c r="H15" s="10">
        <f t="shared" si="1"/>
        <v>86662820.076000005</v>
      </c>
      <c r="I15" s="14">
        <f>VLOOKUP(C15,'Draw Data'!A:B,2,0)</f>
        <v>57065</v>
      </c>
      <c r="J15" s="10">
        <f t="shared" si="2"/>
        <v>1518.6685372119514</v>
      </c>
      <c r="K15" s="15">
        <f t="shared" si="3"/>
        <v>57.064999999999998</v>
      </c>
    </row>
    <row r="16" spans="2:14">
      <c r="B16" s="12">
        <f t="shared" si="0"/>
        <v>45901</v>
      </c>
      <c r="C16" s="7">
        <v>45913</v>
      </c>
      <c r="D16" s="8">
        <v>7561</v>
      </c>
      <c r="E16" s="9">
        <v>9600.009</v>
      </c>
      <c r="F16" s="8">
        <v>4382</v>
      </c>
      <c r="G16" s="8">
        <v>12060</v>
      </c>
      <c r="H16" s="10">
        <f t="shared" si="1"/>
        <v>86725788.048999995</v>
      </c>
      <c r="I16" s="14">
        <f>VLOOKUP(C16,'Draw Data'!A:B,2,0)</f>
        <v>57936</v>
      </c>
      <c r="J16" s="10">
        <f t="shared" si="2"/>
        <v>1496.9239859327533</v>
      </c>
      <c r="K16" s="15">
        <f t="shared" si="3"/>
        <v>57.936</v>
      </c>
    </row>
    <row r="17" spans="2:11">
      <c r="B17" s="12">
        <f t="shared" si="0"/>
        <v>45901</v>
      </c>
      <c r="C17" s="7">
        <v>45914</v>
      </c>
      <c r="D17" s="8">
        <v>7542</v>
      </c>
      <c r="E17" s="9">
        <v>9574.3870000000006</v>
      </c>
      <c r="F17" s="8">
        <v>4394</v>
      </c>
      <c r="G17" s="8">
        <v>13260</v>
      </c>
      <c r="H17" s="10">
        <f t="shared" si="1"/>
        <v>87392466.754000008</v>
      </c>
      <c r="I17" s="14">
        <f>VLOOKUP(C17,'Draw Data'!A:B,2,0)</f>
        <v>58312</v>
      </c>
      <c r="J17" s="10">
        <f t="shared" si="2"/>
        <v>1498.7046706338319</v>
      </c>
      <c r="K17" s="15">
        <f t="shared" si="3"/>
        <v>58.311999999999998</v>
      </c>
    </row>
    <row r="18" spans="2:11">
      <c r="B18" s="12">
        <f t="shared" si="0"/>
        <v>45901</v>
      </c>
      <c r="C18" s="7">
        <v>45915</v>
      </c>
      <c r="D18" s="8">
        <v>7543</v>
      </c>
      <c r="E18" s="9">
        <v>9571.9449999999997</v>
      </c>
      <c r="F18" s="8">
        <v>4415</v>
      </c>
      <c r="G18" s="8">
        <v>13530</v>
      </c>
      <c r="H18" s="10">
        <f t="shared" si="1"/>
        <v>87633881.13499999</v>
      </c>
      <c r="I18" s="14">
        <f>VLOOKUP(C18,'Draw Data'!A:B,2,0)</f>
        <v>58972</v>
      </c>
      <c r="J18" s="10">
        <f t="shared" si="2"/>
        <v>1486.0252515600623</v>
      </c>
      <c r="K18" s="15">
        <f t="shared" si="3"/>
        <v>58.972000000000001</v>
      </c>
    </row>
    <row r="19" spans="2:11">
      <c r="B19" s="12">
        <f t="shared" si="0"/>
        <v>45901</v>
      </c>
      <c r="C19" s="7">
        <v>45916</v>
      </c>
      <c r="D19" s="8">
        <v>7460</v>
      </c>
      <c r="E19" s="9">
        <v>9726.2250000000004</v>
      </c>
      <c r="F19" s="8">
        <v>3853</v>
      </c>
      <c r="G19" s="8">
        <v>14210</v>
      </c>
      <c r="H19" s="10">
        <f t="shared" si="1"/>
        <v>88091818.5</v>
      </c>
      <c r="I19" s="14">
        <f>VLOOKUP(C19,'Draw Data'!A:B,2,0)</f>
        <v>58921</v>
      </c>
      <c r="J19" s="10">
        <f t="shared" si="2"/>
        <v>1495.0835610393578</v>
      </c>
      <c r="K19" s="15">
        <f t="shared" si="3"/>
        <v>58.920999999999999</v>
      </c>
    </row>
    <row r="20" spans="2:11">
      <c r="B20" s="12">
        <f t="shared" si="0"/>
        <v>45901</v>
      </c>
      <c r="C20" s="7">
        <v>45917</v>
      </c>
      <c r="D20" s="8">
        <v>7632</v>
      </c>
      <c r="E20" s="9">
        <v>9517.6080000000002</v>
      </c>
      <c r="F20" s="8">
        <v>4870</v>
      </c>
      <c r="G20" s="8">
        <v>14250</v>
      </c>
      <c r="H20" s="10">
        <f t="shared" si="1"/>
        <v>89081584.255999997</v>
      </c>
      <c r="I20" s="14">
        <f>VLOOKUP(C20,'Draw Data'!A:B,2,0)</f>
        <v>59559</v>
      </c>
      <c r="J20" s="10">
        <f t="shared" si="2"/>
        <v>1495.6863657213855</v>
      </c>
      <c r="K20" s="15">
        <f t="shared" si="3"/>
        <v>59.558999999999997</v>
      </c>
    </row>
    <row r="21" spans="2:11">
      <c r="B21" s="12">
        <f t="shared" si="0"/>
        <v>45901</v>
      </c>
      <c r="C21" s="7">
        <v>45918</v>
      </c>
      <c r="D21" s="8">
        <v>7481</v>
      </c>
      <c r="E21" s="9">
        <v>9523.857</v>
      </c>
      <c r="F21" s="8">
        <v>5280</v>
      </c>
      <c r="G21" s="8">
        <v>14990</v>
      </c>
      <c r="H21" s="10">
        <f t="shared" si="1"/>
        <v>88680174.216999993</v>
      </c>
      <c r="I21" s="14">
        <f>VLOOKUP(C21,'Draw Data'!A:B,2,0)</f>
        <v>60443</v>
      </c>
      <c r="J21" s="10">
        <f t="shared" si="2"/>
        <v>1467.1702962625943</v>
      </c>
      <c r="K21" s="15">
        <f t="shared" si="3"/>
        <v>60.442999999999998</v>
      </c>
    </row>
    <row r="22" spans="2:11">
      <c r="B22" s="12">
        <f t="shared" si="0"/>
        <v>45901</v>
      </c>
      <c r="C22" s="7">
        <v>45919</v>
      </c>
      <c r="D22" s="8">
        <v>7468</v>
      </c>
      <c r="E22" s="9">
        <v>9476.3590000000004</v>
      </c>
      <c r="F22" s="8">
        <v>5279</v>
      </c>
      <c r="G22" s="8">
        <v>14270</v>
      </c>
      <c r="H22" s="10">
        <f t="shared" si="1"/>
        <v>87581589.012000009</v>
      </c>
      <c r="I22" s="14">
        <f>VLOOKUP(C22,'Draw Data'!A:B,2,0)</f>
        <v>58914</v>
      </c>
      <c r="J22" s="10">
        <f t="shared" si="2"/>
        <v>1486.6006214482129</v>
      </c>
      <c r="K22" s="15">
        <f t="shared" si="3"/>
        <v>58.914000000000001</v>
      </c>
    </row>
    <row r="23" spans="2:11">
      <c r="B23" s="12">
        <f t="shared" si="0"/>
        <v>45901</v>
      </c>
      <c r="C23" s="7">
        <v>45920</v>
      </c>
      <c r="D23" s="8">
        <v>7670</v>
      </c>
      <c r="E23" s="9">
        <v>9392.66</v>
      </c>
      <c r="F23" s="8">
        <v>4643</v>
      </c>
      <c r="G23" s="8">
        <v>13440</v>
      </c>
      <c r="H23" s="10">
        <f t="shared" si="1"/>
        <v>87593082.200000003</v>
      </c>
      <c r="I23" s="14">
        <f>VLOOKUP(C23,'Draw Data'!A:B,2,0)</f>
        <v>58186</v>
      </c>
      <c r="J23" s="10">
        <f t="shared" si="2"/>
        <v>1505.3978998384491</v>
      </c>
      <c r="K23" s="15">
        <f t="shared" si="3"/>
        <v>58.186</v>
      </c>
    </row>
    <row r="24" spans="2:11">
      <c r="B24" s="12">
        <f t="shared" si="0"/>
        <v>45901</v>
      </c>
      <c r="C24" s="7">
        <v>45921</v>
      </c>
      <c r="D24" s="8">
        <v>7581</v>
      </c>
      <c r="E24" s="9">
        <v>9451.4030000000002</v>
      </c>
      <c r="F24" s="8">
        <v>7333</v>
      </c>
      <c r="G24" s="8">
        <v>10360</v>
      </c>
      <c r="H24" s="10">
        <f t="shared" si="1"/>
        <v>86867066.143000007</v>
      </c>
      <c r="I24" s="14">
        <f>VLOOKUP(C24,'Draw Data'!A:B,2,0)</f>
        <v>56307</v>
      </c>
      <c r="J24" s="10">
        <f t="shared" si="2"/>
        <v>1542.7400881417941</v>
      </c>
      <c r="K24" s="15">
        <f t="shared" si="3"/>
        <v>56.307000000000002</v>
      </c>
    </row>
    <row r="25" spans="2:11">
      <c r="B25" s="12">
        <f t="shared" si="0"/>
        <v>45901</v>
      </c>
      <c r="C25" s="7">
        <v>45922</v>
      </c>
      <c r="D25" s="8">
        <v>7621</v>
      </c>
      <c r="E25" s="9">
        <v>9354.6470000000008</v>
      </c>
      <c r="F25" s="8">
        <v>7418</v>
      </c>
      <c r="G25" s="8">
        <v>10570</v>
      </c>
      <c r="H25" s="10">
        <f t="shared" si="1"/>
        <v>86761444.787</v>
      </c>
      <c r="I25" s="14">
        <f>VLOOKUP(C25,'Draw Data'!A:B,2,0)</f>
        <v>56253</v>
      </c>
      <c r="J25" s="10">
        <f t="shared" si="2"/>
        <v>1542.3434267861269</v>
      </c>
      <c r="K25" s="15">
        <f t="shared" si="3"/>
        <v>56.253</v>
      </c>
    </row>
    <row r="26" spans="2:11">
      <c r="B26" s="12">
        <f t="shared" si="0"/>
        <v>45901</v>
      </c>
      <c r="C26" s="7">
        <v>45923</v>
      </c>
      <c r="D26" s="8">
        <v>7804</v>
      </c>
      <c r="E26" s="9">
        <v>9396.4189999999999</v>
      </c>
      <c r="F26" s="8">
        <v>7479</v>
      </c>
      <c r="G26" s="8">
        <v>12160</v>
      </c>
      <c r="H26" s="10">
        <f t="shared" si="1"/>
        <v>90219193.876000002</v>
      </c>
      <c r="I26" s="14">
        <f>VLOOKUP(C26,'Draw Data'!A:B,2,0)</f>
        <v>60307</v>
      </c>
      <c r="J26" s="10">
        <f t="shared" si="2"/>
        <v>1495.9987045616595</v>
      </c>
      <c r="K26" s="15">
        <f t="shared" si="3"/>
        <v>60.307000000000002</v>
      </c>
    </row>
    <row r="27" spans="2:11">
      <c r="B27" s="12">
        <f t="shared" si="0"/>
        <v>45901</v>
      </c>
      <c r="C27" s="7">
        <v>45924</v>
      </c>
      <c r="D27" s="8">
        <v>7697</v>
      </c>
      <c r="E27" s="9">
        <v>9471.2340000000004</v>
      </c>
      <c r="F27" s="8">
        <v>8522</v>
      </c>
      <c r="G27" s="8">
        <v>9830</v>
      </c>
      <c r="H27" s="10">
        <f t="shared" si="1"/>
        <v>88682808.098000005</v>
      </c>
      <c r="I27" s="14">
        <f>VLOOKUP(C27,'Draw Data'!A:B,2,0)</f>
        <v>57185</v>
      </c>
      <c r="J27" s="10">
        <f t="shared" si="2"/>
        <v>1550.8054227157472</v>
      </c>
      <c r="K27" s="15">
        <f t="shared" si="3"/>
        <v>57.185000000000002</v>
      </c>
    </row>
    <row r="28" spans="2:11">
      <c r="B28" s="12">
        <f t="shared" si="0"/>
        <v>45901</v>
      </c>
      <c r="C28" s="7">
        <v>45925</v>
      </c>
      <c r="D28" s="8">
        <v>7790</v>
      </c>
      <c r="E28" s="9">
        <v>9431.4570000000003</v>
      </c>
      <c r="F28" s="8">
        <v>8372</v>
      </c>
      <c r="G28" s="8">
        <v>8660</v>
      </c>
      <c r="H28" s="10">
        <f t="shared" si="1"/>
        <v>88118570.030000001</v>
      </c>
      <c r="I28" s="14">
        <f>VLOOKUP(C28,'Draw Data'!A:B,2,0)</f>
        <v>57359</v>
      </c>
      <c r="J28" s="10">
        <f t="shared" si="2"/>
        <v>1536.2640567304172</v>
      </c>
      <c r="K28" s="15">
        <f t="shared" si="3"/>
        <v>57.359000000000002</v>
      </c>
    </row>
    <row r="29" spans="2:11">
      <c r="B29" s="12">
        <f t="shared" si="0"/>
        <v>45901</v>
      </c>
      <c r="C29" s="7">
        <v>45926</v>
      </c>
      <c r="D29" s="8">
        <v>7433</v>
      </c>
      <c r="E29" s="9">
        <v>9726.1980000000003</v>
      </c>
      <c r="F29" s="8">
        <v>8031</v>
      </c>
      <c r="G29" s="8">
        <v>7760</v>
      </c>
      <c r="H29" s="10">
        <f t="shared" si="1"/>
        <v>85875089.733999997</v>
      </c>
      <c r="I29" s="14">
        <f>VLOOKUP(C29,'Draw Data'!A:B,2,0)</f>
        <v>54476</v>
      </c>
      <c r="J29" s="10">
        <f t="shared" si="2"/>
        <v>1576.3839072986268</v>
      </c>
      <c r="K29" s="15">
        <f t="shared" si="3"/>
        <v>54.475999999999999</v>
      </c>
    </row>
    <row r="30" spans="2:11">
      <c r="B30" s="12">
        <f t="shared" si="0"/>
        <v>45901</v>
      </c>
      <c r="C30" s="7">
        <v>45927</v>
      </c>
      <c r="D30" s="8">
        <v>7456</v>
      </c>
      <c r="E30" s="9">
        <v>9756.1450000000004</v>
      </c>
      <c r="F30" s="8">
        <v>8529</v>
      </c>
      <c r="G30" s="8">
        <v>6680</v>
      </c>
      <c r="H30" s="10">
        <f t="shared" si="1"/>
        <v>85821557.120000005</v>
      </c>
      <c r="I30" s="14">
        <f>VLOOKUP(C30,'Draw Data'!A:B,2,0)</f>
        <v>54850</v>
      </c>
      <c r="J30" s="10">
        <f t="shared" si="2"/>
        <v>1564.6592000000001</v>
      </c>
      <c r="K30" s="15">
        <f t="shared" si="3"/>
        <v>54.85</v>
      </c>
    </row>
    <row r="31" spans="2:11">
      <c r="B31" s="12">
        <f t="shared" si="0"/>
        <v>45901</v>
      </c>
      <c r="C31" s="7">
        <v>45928</v>
      </c>
      <c r="D31" s="8">
        <v>7544</v>
      </c>
      <c r="E31" s="9">
        <v>9656.1139999999996</v>
      </c>
      <c r="F31" s="8">
        <v>9293</v>
      </c>
      <c r="G31" s="8">
        <v>6520</v>
      </c>
      <c r="H31" s="10">
        <f t="shared" si="1"/>
        <v>86444904.016000003</v>
      </c>
      <c r="I31" s="14">
        <f>VLOOKUP(C31,'Draw Data'!A:B,2,0)</f>
        <v>55466</v>
      </c>
      <c r="J31" s="10">
        <f t="shared" si="2"/>
        <v>1558.5206075073017</v>
      </c>
      <c r="K31" s="15">
        <f t="shared" si="3"/>
        <v>55.466000000000001</v>
      </c>
    </row>
    <row r="32" spans="2:11">
      <c r="B32" s="12">
        <f t="shared" si="0"/>
        <v>45901</v>
      </c>
      <c r="C32" s="7">
        <v>45929</v>
      </c>
      <c r="D32" s="8">
        <v>7652</v>
      </c>
      <c r="E32" s="9">
        <v>9742.8970000000008</v>
      </c>
      <c r="F32" s="8">
        <v>9322</v>
      </c>
      <c r="G32" s="8">
        <v>4930</v>
      </c>
      <c r="H32" s="10">
        <f t="shared" si="1"/>
        <v>86809367.844000012</v>
      </c>
      <c r="I32" s="14">
        <f>VLOOKUP(C32,'Draw Data'!A:B,2,0)</f>
        <v>53483</v>
      </c>
      <c r="J32" s="10">
        <f t="shared" si="2"/>
        <v>1623.120764429819</v>
      </c>
      <c r="K32" s="15">
        <f t="shared" si="3"/>
        <v>53.482999999999997</v>
      </c>
    </row>
    <row r="33" spans="2:11">
      <c r="B33" s="12">
        <f t="shared" si="0"/>
        <v>45901</v>
      </c>
      <c r="C33" s="7">
        <v>45930</v>
      </c>
      <c r="D33" s="8">
        <v>7642</v>
      </c>
      <c r="E33" s="9">
        <v>9489.09</v>
      </c>
      <c r="F33" s="8">
        <v>10091</v>
      </c>
      <c r="G33" s="8">
        <v>3780</v>
      </c>
      <c r="H33" s="10">
        <f t="shared" si="1"/>
        <v>84444685.780000001</v>
      </c>
      <c r="I33" s="14">
        <f>VLOOKUP(C33,'Draw Data'!A:B,2,0)</f>
        <v>51309</v>
      </c>
      <c r="J33" s="10">
        <f t="shared" si="2"/>
        <v>1645.8065013935177</v>
      </c>
      <c r="K33" s="15">
        <f t="shared" si="3"/>
        <v>51.308999999999997</v>
      </c>
    </row>
    <row r="34" spans="2:11">
      <c r="B34" s="12">
        <f t="shared" si="0"/>
        <v>45931</v>
      </c>
      <c r="C34" s="7">
        <v>45931</v>
      </c>
      <c r="D34" s="8">
        <v>7714</v>
      </c>
      <c r="E34" s="9">
        <v>9431.6929999999993</v>
      </c>
      <c r="F34" s="8">
        <v>8981</v>
      </c>
      <c r="G34" s="8">
        <v>4190</v>
      </c>
      <c r="H34" s="10">
        <f t="shared" si="1"/>
        <v>84083139.802000001</v>
      </c>
      <c r="I34" s="14">
        <f>VLOOKUP(C34,'Draw Data'!A:B,2,0)</f>
        <v>53102</v>
      </c>
      <c r="J34" s="10">
        <f t="shared" si="2"/>
        <v>1583.4269858385749</v>
      </c>
      <c r="K34" s="15">
        <f t="shared" si="3"/>
        <v>53.101999999999997</v>
      </c>
    </row>
    <row r="35" spans="2:11">
      <c r="B35" s="12">
        <f t="shared" si="0"/>
        <v>45931</v>
      </c>
      <c r="C35" s="7">
        <v>45932</v>
      </c>
      <c r="D35" s="8">
        <v>7647</v>
      </c>
      <c r="E35" s="9">
        <v>9399.9220000000005</v>
      </c>
      <c r="F35" s="8">
        <v>9561</v>
      </c>
      <c r="G35" s="8">
        <v>2150</v>
      </c>
      <c r="H35" s="10">
        <f t="shared" si="1"/>
        <v>81952663.534000009</v>
      </c>
      <c r="I35" s="14">
        <f>VLOOKUP(C35,'Draw Data'!A:B,2,0)</f>
        <v>53346</v>
      </c>
      <c r="J35" s="10">
        <f t="shared" si="2"/>
        <v>1536.2475824616656</v>
      </c>
      <c r="K35" s="15">
        <f t="shared" si="3"/>
        <v>53.345999999999997</v>
      </c>
    </row>
    <row r="36" spans="2:11">
      <c r="B36" s="12">
        <f t="shared" si="0"/>
        <v>45931</v>
      </c>
      <c r="C36" s="7">
        <v>45933</v>
      </c>
      <c r="D36" s="8">
        <v>7808</v>
      </c>
      <c r="E36" s="9">
        <v>9342.1550000000007</v>
      </c>
      <c r="F36" s="8">
        <v>7543</v>
      </c>
      <c r="G36" s="8">
        <v>7390</v>
      </c>
      <c r="H36" s="10">
        <f t="shared" si="1"/>
        <v>85785926.24000001</v>
      </c>
      <c r="I36" s="14">
        <f>VLOOKUP(C36,'Draw Data'!A:B,2,0)</f>
        <v>55178</v>
      </c>
      <c r="J36" s="10">
        <f t="shared" si="2"/>
        <v>1554.7124984595312</v>
      </c>
      <c r="K36" s="15">
        <f t="shared" si="3"/>
        <v>55.177999999999997</v>
      </c>
    </row>
    <row r="37" spans="2:11">
      <c r="B37" s="12">
        <f t="shared" si="0"/>
        <v>45931</v>
      </c>
      <c r="C37" s="7">
        <v>45934</v>
      </c>
      <c r="D37" s="8">
        <v>7741</v>
      </c>
      <c r="E37" s="9">
        <v>9394.5869999999995</v>
      </c>
      <c r="F37" s="8">
        <v>6847</v>
      </c>
      <c r="G37" s="8">
        <v>11830</v>
      </c>
      <c r="H37" s="10">
        <f t="shared" si="1"/>
        <v>88785717.966999993</v>
      </c>
      <c r="I37" s="14">
        <f>VLOOKUP(C37,'Draw Data'!A:B,2,0)</f>
        <v>58751</v>
      </c>
      <c r="J37" s="10">
        <f t="shared" si="2"/>
        <v>1511.2205403652702</v>
      </c>
      <c r="K37" s="15">
        <f t="shared" si="3"/>
        <v>58.750999999999998</v>
      </c>
    </row>
    <row r="38" spans="2:11">
      <c r="B38" s="12">
        <f t="shared" si="0"/>
        <v>45931</v>
      </c>
      <c r="C38" s="7">
        <v>45935</v>
      </c>
      <c r="D38" s="8">
        <v>7763</v>
      </c>
      <c r="E38" s="9">
        <v>9374.9539999999997</v>
      </c>
      <c r="F38" s="8">
        <v>8056</v>
      </c>
      <c r="G38" s="8">
        <v>11150</v>
      </c>
      <c r="H38" s="10">
        <f t="shared" si="1"/>
        <v>89294927.901999995</v>
      </c>
      <c r="I38" s="14">
        <f>VLOOKUP(C38,'Draw Data'!A:B,2,0)</f>
        <v>59634</v>
      </c>
      <c r="J38" s="10">
        <f t="shared" si="2"/>
        <v>1497.3828336519434</v>
      </c>
      <c r="K38" s="15">
        <f t="shared" si="3"/>
        <v>59.634</v>
      </c>
    </row>
    <row r="39" spans="2:11">
      <c r="B39" s="12">
        <f t="shared" si="0"/>
        <v>45931</v>
      </c>
      <c r="C39" s="7">
        <v>45936</v>
      </c>
      <c r="D39" s="8">
        <v>7523</v>
      </c>
      <c r="E39" s="9">
        <v>9514.5</v>
      </c>
      <c r="F39" s="8">
        <v>8041</v>
      </c>
      <c r="G39" s="8">
        <v>10270</v>
      </c>
      <c r="H39" s="10">
        <f t="shared" si="1"/>
        <v>87325043.5</v>
      </c>
      <c r="I39" s="14">
        <f>VLOOKUP(C39,'Draw Data'!A:B,2,0)</f>
        <v>56718</v>
      </c>
      <c r="J39" s="10">
        <f t="shared" si="2"/>
        <v>1539.635450826898</v>
      </c>
      <c r="K39" s="15">
        <f t="shared" si="3"/>
        <v>56.718000000000004</v>
      </c>
    </row>
    <row r="40" spans="2:11">
      <c r="B40" s="12">
        <f t="shared" si="0"/>
        <v>45931</v>
      </c>
      <c r="C40" s="7">
        <v>45937</v>
      </c>
      <c r="D40" s="8">
        <v>7692</v>
      </c>
      <c r="E40" s="9">
        <v>9374.2639999999992</v>
      </c>
      <c r="F40" s="8">
        <v>8051</v>
      </c>
      <c r="G40" s="8">
        <v>8740</v>
      </c>
      <c r="H40" s="10">
        <f t="shared" si="1"/>
        <v>86547098.687999994</v>
      </c>
      <c r="I40" s="14">
        <f>VLOOKUP(C40,'Draw Data'!A:B,2,0)</f>
        <v>55295</v>
      </c>
      <c r="J40" s="10">
        <f t="shared" si="2"/>
        <v>1565.1885104982366</v>
      </c>
      <c r="K40" s="15">
        <f t="shared" si="3"/>
        <v>55.295000000000002</v>
      </c>
    </row>
    <row r="41" spans="2:11">
      <c r="B41" s="12">
        <f t="shared" si="0"/>
        <v>45931</v>
      </c>
      <c r="C41" s="7">
        <v>45938</v>
      </c>
      <c r="D41" s="8">
        <v>7552</v>
      </c>
      <c r="E41" s="9">
        <v>9429.4079999999994</v>
      </c>
      <c r="F41" s="8">
        <v>8066</v>
      </c>
      <c r="G41" s="8">
        <v>9290</v>
      </c>
      <c r="H41" s="10">
        <f t="shared" si="1"/>
        <v>86137049.215999991</v>
      </c>
      <c r="I41" s="14">
        <f>VLOOKUP(C41,'Draw Data'!A:B,2,0)</f>
        <v>55517</v>
      </c>
      <c r="J41" s="10">
        <f t="shared" si="2"/>
        <v>1551.5436571860869</v>
      </c>
      <c r="K41" s="15">
        <f t="shared" si="3"/>
        <v>55.517000000000003</v>
      </c>
    </row>
    <row r="42" spans="2:11">
      <c r="B42" s="12">
        <f t="shared" si="0"/>
        <v>45931</v>
      </c>
      <c r="C42" s="7">
        <v>45939</v>
      </c>
      <c r="D42" s="8">
        <v>7630</v>
      </c>
      <c r="E42" s="9">
        <v>9366.6820000000007</v>
      </c>
      <c r="F42" s="8">
        <v>8109</v>
      </c>
      <c r="G42" s="8">
        <v>9790</v>
      </c>
      <c r="H42" s="10">
        <f t="shared" si="1"/>
        <v>86860923.660000011</v>
      </c>
      <c r="I42" s="14">
        <f>VLOOKUP(C42,'Draw Data'!A:B,2,0)</f>
        <v>56434</v>
      </c>
      <c r="J42" s="10">
        <f t="shared" si="2"/>
        <v>1539.1594368643018</v>
      </c>
      <c r="K42" s="15">
        <f t="shared" si="3"/>
        <v>56.433999999999997</v>
      </c>
    </row>
    <row r="43" spans="2:11">
      <c r="B43" s="12">
        <f t="shared" si="0"/>
        <v>45931</v>
      </c>
      <c r="C43" s="7">
        <v>45940</v>
      </c>
      <c r="D43" s="8">
        <v>7651</v>
      </c>
      <c r="E43" s="9">
        <v>9409.7420000000002</v>
      </c>
      <c r="F43" s="8">
        <v>8013</v>
      </c>
      <c r="G43" s="8">
        <v>6190</v>
      </c>
      <c r="H43" s="10">
        <f t="shared" si="1"/>
        <v>84208516.041999996</v>
      </c>
      <c r="I43" s="14">
        <f>VLOOKUP(C43,'Draw Data'!A:B,2,0)</f>
        <v>51809</v>
      </c>
      <c r="J43" s="10">
        <f t="shared" si="2"/>
        <v>1625.3646285780462</v>
      </c>
      <c r="K43" s="15">
        <f t="shared" si="3"/>
        <v>51.808999999999997</v>
      </c>
    </row>
    <row r="44" spans="2:11">
      <c r="B44" s="12">
        <f t="shared" si="0"/>
        <v>45931</v>
      </c>
      <c r="C44" s="7">
        <v>45941</v>
      </c>
      <c r="D44" s="8">
        <v>7645</v>
      </c>
      <c r="E44" s="9">
        <v>9471.1299999999992</v>
      </c>
      <c r="F44" s="8">
        <v>8061</v>
      </c>
      <c r="G44" s="8">
        <v>6760</v>
      </c>
      <c r="H44" s="10">
        <f t="shared" si="1"/>
        <v>85152848.849999994</v>
      </c>
      <c r="I44" s="14">
        <f>VLOOKUP(C44,'Draw Data'!A:B,2,0)</f>
        <v>53777</v>
      </c>
      <c r="J44" s="10">
        <f t="shared" si="2"/>
        <v>1583.443644122952</v>
      </c>
      <c r="K44" s="15">
        <f t="shared" si="3"/>
        <v>53.777000000000001</v>
      </c>
    </row>
    <row r="45" spans="2:11">
      <c r="B45" s="12">
        <f t="shared" si="0"/>
        <v>45931</v>
      </c>
      <c r="C45" s="7">
        <v>45942</v>
      </c>
      <c r="D45" s="8">
        <v>7700</v>
      </c>
      <c r="E45" s="9">
        <v>9540.6049999999996</v>
      </c>
      <c r="F45" s="8">
        <v>7786</v>
      </c>
      <c r="G45" s="8">
        <v>6250</v>
      </c>
      <c r="H45" s="10">
        <f t="shared" si="1"/>
        <v>85533618.5</v>
      </c>
      <c r="I45" s="14">
        <f>VLOOKUP(C45,'Draw Data'!A:B,2,0)</f>
        <v>52929</v>
      </c>
      <c r="J45" s="10">
        <f t="shared" si="2"/>
        <v>1616.0066976515709</v>
      </c>
      <c r="K45" s="15">
        <f t="shared" si="3"/>
        <v>52.929000000000002</v>
      </c>
    </row>
    <row r="46" spans="2:11">
      <c r="B46" s="12">
        <f t="shared" si="0"/>
        <v>45931</v>
      </c>
      <c r="C46" s="7">
        <v>45943</v>
      </c>
      <c r="D46" s="8">
        <v>7834</v>
      </c>
      <c r="E46" s="9">
        <v>9510.0040000000008</v>
      </c>
      <c r="F46" s="8">
        <v>7501</v>
      </c>
      <c r="G46" s="8">
        <v>8110</v>
      </c>
      <c r="H46" s="10">
        <f t="shared" si="1"/>
        <v>87926831.33600001</v>
      </c>
      <c r="I46" s="14">
        <f>VLOOKUP(C46,'Draw Data'!A:B,2,0)</f>
        <v>57019</v>
      </c>
      <c r="J46" s="10">
        <f t="shared" si="2"/>
        <v>1542.0619676949791</v>
      </c>
      <c r="K46" s="15">
        <f t="shared" si="3"/>
        <v>57.018999999999998</v>
      </c>
    </row>
    <row r="47" spans="2:11">
      <c r="B47" s="12">
        <f t="shared" si="0"/>
        <v>45931</v>
      </c>
      <c r="C47" s="7">
        <v>45944</v>
      </c>
      <c r="D47" s="8">
        <v>7657</v>
      </c>
      <c r="E47" s="9">
        <v>9562.8279999999995</v>
      </c>
      <c r="F47" s="8">
        <v>7373</v>
      </c>
      <c r="G47" s="8">
        <v>9490</v>
      </c>
      <c r="H47" s="10">
        <f t="shared" si="1"/>
        <v>87724753.995999992</v>
      </c>
      <c r="I47" s="14">
        <f>VLOOKUP(C47,'Draw Data'!A:B,2,0)</f>
        <v>57137</v>
      </c>
      <c r="J47" s="10">
        <f t="shared" si="2"/>
        <v>1535.3405673381519</v>
      </c>
      <c r="K47" s="15">
        <f t="shared" si="3"/>
        <v>57.137</v>
      </c>
    </row>
    <row r="48" spans="2:11">
      <c r="B48" s="12">
        <f t="shared" si="0"/>
        <v>45931</v>
      </c>
      <c r="C48" s="7">
        <v>45945</v>
      </c>
      <c r="D48" s="8">
        <v>7568</v>
      </c>
      <c r="E48" s="9">
        <v>9604.8160000000007</v>
      </c>
      <c r="F48" s="8">
        <v>7347</v>
      </c>
      <c r="G48" s="8">
        <v>9870</v>
      </c>
      <c r="H48" s="10">
        <f t="shared" si="1"/>
        <v>87495867.488000005</v>
      </c>
      <c r="I48" s="14">
        <f>VLOOKUP(C48,'Draw Data'!A:B,2,0)</f>
        <v>57234</v>
      </c>
      <c r="J48" s="10">
        <f t="shared" si="2"/>
        <v>1528.7393417898452</v>
      </c>
      <c r="K48" s="15">
        <f t="shared" si="3"/>
        <v>57.234000000000002</v>
      </c>
    </row>
    <row r="49" spans="2:11">
      <c r="B49" s="12">
        <f t="shared" si="0"/>
        <v>45931</v>
      </c>
      <c r="C49" s="7">
        <v>45946</v>
      </c>
      <c r="D49" s="8">
        <v>7552</v>
      </c>
      <c r="E49" s="9">
        <v>9645.0570000000007</v>
      </c>
      <c r="F49" s="8">
        <v>7331</v>
      </c>
      <c r="G49" s="8">
        <v>11330</v>
      </c>
      <c r="H49" s="10">
        <f t="shared" si="1"/>
        <v>88887930.464000002</v>
      </c>
      <c r="I49" s="14">
        <f>VLOOKUP(C49,'Draw Data'!A:B,2,0)</f>
        <v>59680</v>
      </c>
      <c r="J49" s="10">
        <f t="shared" si="2"/>
        <v>1489.4090225201073</v>
      </c>
      <c r="K49" s="15">
        <f t="shared" si="3"/>
        <v>59.68</v>
      </c>
    </row>
    <row r="50" spans="2:11">
      <c r="B50" s="12">
        <f t="shared" si="0"/>
        <v>45931</v>
      </c>
      <c r="C50" s="7">
        <v>45947</v>
      </c>
      <c r="D50" s="8">
        <v>7618</v>
      </c>
      <c r="E50" s="9">
        <v>9533.6409999999996</v>
      </c>
      <c r="F50" s="8">
        <v>7331</v>
      </c>
      <c r="G50" s="8">
        <v>12050</v>
      </c>
      <c r="H50" s="10">
        <f t="shared" si="1"/>
        <v>89294937.137999997</v>
      </c>
      <c r="I50" s="14">
        <f>VLOOKUP(C50,'Draw Data'!A:B,2,0)</f>
        <v>60175</v>
      </c>
      <c r="J50" s="10">
        <f t="shared" si="2"/>
        <v>1483.9208498213543</v>
      </c>
      <c r="K50" s="15">
        <f t="shared" si="3"/>
        <v>60.174999999999997</v>
      </c>
    </row>
    <row r="51" spans="2:11">
      <c r="B51" s="12">
        <f t="shared" si="0"/>
        <v>45931</v>
      </c>
      <c r="C51" s="7">
        <v>45948</v>
      </c>
      <c r="D51" s="8">
        <v>7699</v>
      </c>
      <c r="E51" s="9">
        <v>9602.3909999999996</v>
      </c>
      <c r="F51" s="8">
        <v>7846</v>
      </c>
      <c r="G51" s="8">
        <v>11450</v>
      </c>
      <c r="H51" s="10">
        <f t="shared" si="1"/>
        <v>90523368.309</v>
      </c>
      <c r="I51" s="14">
        <f>VLOOKUP(C51,'Draw Data'!A:B,2,0)</f>
        <v>60728</v>
      </c>
      <c r="J51" s="10">
        <f t="shared" si="2"/>
        <v>1490.636416628244</v>
      </c>
      <c r="K51" s="15">
        <f t="shared" si="3"/>
        <v>60.728000000000002</v>
      </c>
    </row>
    <row r="52" spans="2:11">
      <c r="B52" s="12">
        <f t="shared" si="0"/>
        <v>45931</v>
      </c>
      <c r="C52" s="7">
        <v>45949</v>
      </c>
      <c r="D52" s="8">
        <v>7553</v>
      </c>
      <c r="E52" s="9">
        <v>9757.9599999999991</v>
      </c>
      <c r="F52" s="8">
        <v>8106</v>
      </c>
      <c r="G52" s="8">
        <v>10990</v>
      </c>
      <c r="H52" s="10">
        <f t="shared" si="1"/>
        <v>90124431.879999995</v>
      </c>
      <c r="I52" s="14">
        <f>VLOOKUP(C52,'Draw Data'!A:B,2,0)</f>
        <v>60151</v>
      </c>
      <c r="J52" s="10">
        <f t="shared" si="2"/>
        <v>1498.3031351099733</v>
      </c>
      <c r="K52" s="15">
        <f t="shared" si="3"/>
        <v>60.151000000000003</v>
      </c>
    </row>
    <row r="53" spans="2:11">
      <c r="B53" s="12">
        <f t="shared" si="0"/>
        <v>45931</v>
      </c>
      <c r="C53" s="7">
        <v>45950</v>
      </c>
      <c r="D53" s="8">
        <v>7466</v>
      </c>
      <c r="E53" s="9">
        <v>9629.2489999999998</v>
      </c>
      <c r="F53" s="8">
        <v>8087</v>
      </c>
      <c r="G53" s="8">
        <v>11910</v>
      </c>
      <c r="H53" s="10">
        <f t="shared" si="1"/>
        <v>89089393.033999994</v>
      </c>
      <c r="I53" s="14">
        <f>VLOOKUP(C53,'Draw Data'!A:B,2,0)</f>
        <v>60227</v>
      </c>
      <c r="J53" s="10">
        <f t="shared" si="2"/>
        <v>1479.2268091387582</v>
      </c>
      <c r="K53" s="15">
        <f t="shared" si="3"/>
        <v>60.226999999999997</v>
      </c>
    </row>
    <row r="54" spans="2:11">
      <c r="B54" s="12">
        <f t="shared" si="0"/>
        <v>45931</v>
      </c>
      <c r="C54" s="7">
        <v>45951</v>
      </c>
      <c r="D54" s="8">
        <v>7424</v>
      </c>
      <c r="E54" s="9">
        <v>9660.6080000000002</v>
      </c>
      <c r="F54" s="8">
        <v>8076</v>
      </c>
      <c r="G54" s="8">
        <v>12420</v>
      </c>
      <c r="H54" s="10">
        <f t="shared" si="1"/>
        <v>89346913.791999996</v>
      </c>
      <c r="I54" s="14">
        <f>VLOOKUP(C54,'Draw Data'!A:B,2,0)</f>
        <v>60183</v>
      </c>
      <c r="J54" s="10">
        <f t="shared" si="2"/>
        <v>1484.5872387883621</v>
      </c>
      <c r="K54" s="15">
        <f t="shared" si="3"/>
        <v>60.183</v>
      </c>
    </row>
    <row r="55" spans="2:11">
      <c r="B55" s="12">
        <f t="shared" si="0"/>
        <v>45931</v>
      </c>
      <c r="C55" s="7">
        <v>45952</v>
      </c>
      <c r="D55" s="8">
        <v>7593</v>
      </c>
      <c r="E55" s="9">
        <v>9579.1569999999992</v>
      </c>
      <c r="F55" s="8">
        <v>8031</v>
      </c>
      <c r="G55" s="8">
        <v>11620</v>
      </c>
      <c r="H55" s="10">
        <f t="shared" si="1"/>
        <v>89634399.100999996</v>
      </c>
      <c r="I55" s="14">
        <f>VLOOKUP(C55,'Draw Data'!A:B,2,0)</f>
        <v>60372</v>
      </c>
      <c r="J55" s="10">
        <f t="shared" si="2"/>
        <v>1484.7015023686477</v>
      </c>
      <c r="K55" s="15">
        <f t="shared" si="3"/>
        <v>60.372</v>
      </c>
    </row>
    <row r="56" spans="2:11">
      <c r="B56" s="12">
        <f t="shared" si="0"/>
        <v>45931</v>
      </c>
      <c r="C56" s="7">
        <v>45953</v>
      </c>
      <c r="D56" s="8">
        <v>7773</v>
      </c>
      <c r="E56" s="9">
        <v>9505.1550000000007</v>
      </c>
      <c r="F56" s="8">
        <v>8120</v>
      </c>
      <c r="G56" s="8">
        <v>8990</v>
      </c>
      <c r="H56" s="10">
        <f t="shared" si="1"/>
        <v>88598169.815000013</v>
      </c>
      <c r="I56" s="14">
        <f>VLOOKUP(C56,'Draw Data'!A:B,2,0)</f>
        <v>56614</v>
      </c>
      <c r="J56" s="10">
        <f t="shared" si="2"/>
        <v>1564.951598809482</v>
      </c>
      <c r="K56" s="15">
        <f t="shared" si="3"/>
        <v>56.613999999999997</v>
      </c>
    </row>
    <row r="57" spans="2:11">
      <c r="B57" s="12">
        <f t="shared" si="0"/>
        <v>45931</v>
      </c>
      <c r="C57" s="7">
        <v>45954</v>
      </c>
      <c r="D57" s="8">
        <v>7705</v>
      </c>
      <c r="E57" s="9">
        <v>9461.598</v>
      </c>
      <c r="F57" s="8">
        <v>7390</v>
      </c>
      <c r="G57" s="8">
        <v>7990</v>
      </c>
      <c r="H57" s="10">
        <f t="shared" si="1"/>
        <v>86128412.590000004</v>
      </c>
      <c r="I57" s="14">
        <f>VLOOKUP(C57,'Draw Data'!A:B,2,0)</f>
        <v>55497</v>
      </c>
      <c r="J57" s="10">
        <f t="shared" si="2"/>
        <v>1551.9471789466097</v>
      </c>
      <c r="K57" s="15">
        <f t="shared" si="3"/>
        <v>55.497</v>
      </c>
    </row>
    <row r="58" spans="2:11">
      <c r="B58" s="12">
        <f t="shared" si="0"/>
        <v>45931</v>
      </c>
      <c r="C58" s="7">
        <v>45955</v>
      </c>
      <c r="D58" s="8">
        <v>7723</v>
      </c>
      <c r="E58" s="9">
        <v>9594.6990000000005</v>
      </c>
      <c r="F58" s="8">
        <v>7093</v>
      </c>
      <c r="G58" s="8">
        <v>9102</v>
      </c>
      <c r="H58" s="10">
        <f t="shared" si="1"/>
        <v>88027560.377000004</v>
      </c>
      <c r="I58" s="14">
        <f>VLOOKUP(C58,'Draw Data'!A:B,2,0)</f>
        <v>56243</v>
      </c>
      <c r="J58" s="10">
        <f t="shared" si="2"/>
        <v>1565.1291783333038</v>
      </c>
      <c r="K58" s="15">
        <f t="shared" si="3"/>
        <v>56.243000000000002</v>
      </c>
    </row>
    <row r="59" spans="2:11">
      <c r="B59" s="12">
        <f t="shared" si="0"/>
        <v>45931</v>
      </c>
      <c r="C59" s="7">
        <v>45956</v>
      </c>
      <c r="D59" s="8">
        <v>7785</v>
      </c>
      <c r="E59" s="9">
        <v>9531.1630000000005</v>
      </c>
      <c r="F59" s="8">
        <v>7616</v>
      </c>
      <c r="G59" s="8">
        <v>10388</v>
      </c>
      <c r="H59" s="10">
        <f t="shared" si="1"/>
        <v>89683543.954999998</v>
      </c>
      <c r="I59" s="14">
        <f>VLOOKUP(C59,'Draw Data'!A:B,2,0)</f>
        <v>58910</v>
      </c>
      <c r="J59" s="10">
        <f t="shared" si="2"/>
        <v>1522.3823451875742</v>
      </c>
      <c r="K59" s="15">
        <f t="shared" si="3"/>
        <v>58.91</v>
      </c>
    </row>
    <row r="60" spans="2:11">
      <c r="B60" s="12">
        <f t="shared" si="0"/>
        <v>45931</v>
      </c>
      <c r="C60" s="7">
        <v>45957</v>
      </c>
      <c r="D60" s="8">
        <v>7675</v>
      </c>
      <c r="E60" s="9">
        <v>9490.7000000000007</v>
      </c>
      <c r="F60" s="8">
        <v>8210</v>
      </c>
      <c r="G60" s="8">
        <v>10640</v>
      </c>
      <c r="H60" s="10">
        <f t="shared" si="1"/>
        <v>89052122.5</v>
      </c>
      <c r="I60" s="14">
        <f>VLOOKUP(C60,'Draw Data'!A:B,2,0)</f>
        <v>59103</v>
      </c>
      <c r="J60" s="10">
        <f t="shared" si="2"/>
        <v>1506.7276195793784</v>
      </c>
      <c r="K60" s="15">
        <f t="shared" si="3"/>
        <v>59.103000000000002</v>
      </c>
    </row>
    <row r="61" spans="2:11">
      <c r="B61" s="12">
        <f t="shared" si="0"/>
        <v>45931</v>
      </c>
      <c r="C61" s="7">
        <v>45958</v>
      </c>
      <c r="D61" s="8">
        <v>7930</v>
      </c>
      <c r="E61" s="9">
        <v>9485.9750000000004</v>
      </c>
      <c r="F61" s="8">
        <v>8355</v>
      </c>
      <c r="G61" s="8">
        <v>9990</v>
      </c>
      <c r="H61" s="10">
        <f t="shared" si="1"/>
        <v>91000481.75</v>
      </c>
      <c r="I61" s="14">
        <f>VLOOKUP(C61,'Draw Data'!A:B,2,0)</f>
        <v>59166</v>
      </c>
      <c r="J61" s="10">
        <f t="shared" si="2"/>
        <v>1538.0536414494811</v>
      </c>
      <c r="K61" s="15">
        <f t="shared" si="3"/>
        <v>59.165999999999997</v>
      </c>
    </row>
    <row r="62" spans="2:11">
      <c r="B62" s="12">
        <f t="shared" si="0"/>
        <v>45931</v>
      </c>
      <c r="C62" s="7">
        <v>45959</v>
      </c>
      <c r="D62" s="8">
        <v>7876</v>
      </c>
      <c r="E62" s="9">
        <v>9477.5949999999993</v>
      </c>
      <c r="F62" s="8">
        <v>8466</v>
      </c>
      <c r="G62" s="8">
        <v>10100</v>
      </c>
      <c r="H62" s="10">
        <f t="shared" si="1"/>
        <v>90612298.219999999</v>
      </c>
      <c r="I62" s="14">
        <f>VLOOKUP(C62,'Draw Data'!A:B,2,0)</f>
        <v>59547</v>
      </c>
      <c r="J62" s="10">
        <f t="shared" si="2"/>
        <v>1521.6937582078021</v>
      </c>
      <c r="K62" s="15">
        <f t="shared" si="3"/>
        <v>59.546999999999997</v>
      </c>
    </row>
    <row r="63" spans="2:11">
      <c r="B63" s="12">
        <f t="shared" si="0"/>
        <v>45931</v>
      </c>
      <c r="C63" s="7">
        <v>45960</v>
      </c>
      <c r="D63" s="8">
        <v>7965</v>
      </c>
      <c r="E63" s="9">
        <v>9498.8109999999997</v>
      </c>
      <c r="F63" s="8">
        <v>8524</v>
      </c>
      <c r="G63" s="8">
        <v>11140</v>
      </c>
      <c r="H63" s="10">
        <f t="shared" si="1"/>
        <v>92569069.614999995</v>
      </c>
      <c r="I63" s="14">
        <f>VLOOKUP(C63,'Draw Data'!A:B,2,0)</f>
        <v>60400</v>
      </c>
      <c r="J63" s="10">
        <f t="shared" si="2"/>
        <v>1532.6004903145695</v>
      </c>
      <c r="K63" s="15">
        <f t="shared" si="3"/>
        <v>60.4</v>
      </c>
    </row>
    <row r="64" spans="2:11">
      <c r="B64" s="12">
        <f t="shared" si="0"/>
        <v>45931</v>
      </c>
      <c r="C64" s="7">
        <v>45961</v>
      </c>
      <c r="D64" s="8">
        <v>7638</v>
      </c>
      <c r="E64" s="9">
        <v>9549.9779999999992</v>
      </c>
      <c r="F64" s="8">
        <v>8328</v>
      </c>
      <c r="G64" s="8">
        <v>11230</v>
      </c>
      <c r="H64" s="10">
        <f t="shared" si="1"/>
        <v>89762611.963999987</v>
      </c>
      <c r="I64" s="14">
        <f>VLOOKUP(C64,'Draw Data'!A:B,2,0)</f>
        <v>58920</v>
      </c>
      <c r="J64" s="10">
        <f t="shared" si="2"/>
        <v>1523.4659192803799</v>
      </c>
      <c r="K64" s="15">
        <f t="shared" si="3"/>
        <v>58.92</v>
      </c>
    </row>
    <row r="65" spans="2:11">
      <c r="B65" s="12">
        <f t="shared" si="0"/>
        <v>45962</v>
      </c>
      <c r="C65" s="7">
        <v>45962</v>
      </c>
      <c r="D65" s="8">
        <v>7700</v>
      </c>
      <c r="E65" s="9">
        <v>9559.4719999999998</v>
      </c>
      <c r="F65" s="8">
        <v>8775</v>
      </c>
      <c r="G65" s="8">
        <v>11080</v>
      </c>
      <c r="H65" s="10">
        <f t="shared" si="1"/>
        <v>90683234.399999991</v>
      </c>
      <c r="I65" s="14">
        <f>VLOOKUP(C65,'Draw Data'!A:B,2,0)</f>
        <v>59443</v>
      </c>
      <c r="J65" s="10">
        <f t="shared" si="2"/>
        <v>1525.5494238177748</v>
      </c>
      <c r="K65" s="15">
        <f t="shared" si="3"/>
        <v>59.442999999999998</v>
      </c>
    </row>
    <row r="66" spans="2:11">
      <c r="B66" s="12">
        <f t="shared" si="0"/>
        <v>45962</v>
      </c>
      <c r="C66" s="7">
        <v>45963</v>
      </c>
      <c r="D66" s="8">
        <v>8108</v>
      </c>
      <c r="E66" s="9">
        <v>8888.9490000000005</v>
      </c>
      <c r="F66" s="8">
        <v>8786</v>
      </c>
      <c r="G66" s="8">
        <v>10790</v>
      </c>
      <c r="H66" s="10">
        <f t="shared" si="1"/>
        <v>88906958.491999999</v>
      </c>
      <c r="I66" s="14">
        <f>VLOOKUP(C66,'Draw Data'!A:B,2,0)</f>
        <v>58655</v>
      </c>
      <c r="J66" s="10">
        <f t="shared" si="2"/>
        <v>1515.7609494842725</v>
      </c>
      <c r="K66" s="15">
        <f t="shared" si="3"/>
        <v>58.655000000000001</v>
      </c>
    </row>
    <row r="67" spans="2:11">
      <c r="B67" s="12">
        <f t="shared" si="0"/>
        <v>45962</v>
      </c>
      <c r="C67" s="7">
        <v>45964</v>
      </c>
      <c r="D67" s="8">
        <v>8087</v>
      </c>
      <c r="E67" s="9">
        <v>9134.5949999999993</v>
      </c>
      <c r="F67" s="8">
        <v>8827</v>
      </c>
      <c r="G67" s="8">
        <v>11590</v>
      </c>
      <c r="H67" s="10">
        <f t="shared" si="1"/>
        <v>91430089.765000001</v>
      </c>
      <c r="I67" s="14">
        <f>VLOOKUP(C67,'Draw Data'!A:B,2,0)</f>
        <v>60084</v>
      </c>
      <c r="J67" s="10">
        <f t="shared" si="2"/>
        <v>1521.704443196192</v>
      </c>
      <c r="K67" s="15">
        <f t="shared" si="3"/>
        <v>60.084000000000003</v>
      </c>
    </row>
    <row r="68" spans="2:11">
      <c r="B68" s="12">
        <f t="shared" si="0"/>
        <v>45962</v>
      </c>
      <c r="C68" s="7">
        <v>45965</v>
      </c>
      <c r="D68" s="8">
        <v>7830</v>
      </c>
      <c r="E68" s="9">
        <v>9388.02</v>
      </c>
      <c r="F68" s="8">
        <v>8843</v>
      </c>
      <c r="G68" s="8">
        <v>11170</v>
      </c>
      <c r="H68" s="10">
        <f t="shared" si="1"/>
        <v>90719376.600000009</v>
      </c>
      <c r="I68" s="14">
        <f>VLOOKUP(C68,'Draw Data'!A:B,2,0)</f>
        <v>59198</v>
      </c>
      <c r="J68" s="10">
        <f t="shared" si="2"/>
        <v>1532.4736747863105</v>
      </c>
      <c r="K68" s="15">
        <f t="shared" si="3"/>
        <v>59.198</v>
      </c>
    </row>
    <row r="69" spans="2:11">
      <c r="B69" s="12">
        <f t="shared" ref="B69:B132" si="4">DATE(YEAR(C69),MONTH(C69),1)</f>
        <v>45962</v>
      </c>
      <c r="C69" s="7">
        <v>45966</v>
      </c>
      <c r="D69" s="8">
        <v>7785</v>
      </c>
      <c r="E69" s="9">
        <v>9344.2369999999992</v>
      </c>
      <c r="F69" s="8">
        <v>8853</v>
      </c>
      <c r="G69" s="8">
        <v>10420</v>
      </c>
      <c r="H69" s="10">
        <f t="shared" ref="H69:H132" si="5">((D69 *(E69))+ ((F69+G69)*860))</f>
        <v>89319665.044999987</v>
      </c>
      <c r="I69" s="14">
        <f>VLOOKUP(C69,'Draw Data'!A:B,2,0)</f>
        <v>57272</v>
      </c>
      <c r="J69" s="10">
        <f t="shared" ref="J69:J132" si="6">H69/I69</f>
        <v>1559.5695111922055</v>
      </c>
      <c r="K69" s="15">
        <f t="shared" ref="K69:K132" si="7">I69/1000</f>
        <v>57.271999999999998</v>
      </c>
    </row>
    <row r="70" spans="2:11">
      <c r="B70" s="12">
        <f t="shared" si="4"/>
        <v>45962</v>
      </c>
      <c r="C70" s="7">
        <v>45967</v>
      </c>
      <c r="D70" s="8">
        <v>8034</v>
      </c>
      <c r="E70" s="9">
        <v>9190.0869999999995</v>
      </c>
      <c r="F70" s="8">
        <v>9106</v>
      </c>
      <c r="G70" s="8">
        <v>10000</v>
      </c>
      <c r="H70" s="10">
        <f t="shared" si="5"/>
        <v>90264318.957999989</v>
      </c>
      <c r="I70" s="14">
        <f>VLOOKUP(C70,'Draw Data'!A:B,2,0)</f>
        <v>57185</v>
      </c>
      <c r="J70" s="10">
        <f t="shared" si="6"/>
        <v>1578.4614664335052</v>
      </c>
      <c r="K70" s="15">
        <f t="shared" si="7"/>
        <v>57.185000000000002</v>
      </c>
    </row>
    <row r="71" spans="2:11">
      <c r="B71" s="12">
        <f t="shared" si="4"/>
        <v>45962</v>
      </c>
      <c r="C71" s="7">
        <v>45968</v>
      </c>
      <c r="D71" s="8">
        <v>8016</v>
      </c>
      <c r="E71" s="9">
        <v>9335.4429999999993</v>
      </c>
      <c r="F71" s="8">
        <v>9102</v>
      </c>
      <c r="G71" s="8">
        <v>8210</v>
      </c>
      <c r="H71" s="10">
        <f t="shared" si="5"/>
        <v>89721231.088</v>
      </c>
      <c r="I71" s="14">
        <f>VLOOKUP(C71,'Draw Data'!A:B,2,0)</f>
        <v>57131</v>
      </c>
      <c r="J71" s="10">
        <f t="shared" si="6"/>
        <v>1570.4474118779647</v>
      </c>
      <c r="K71" s="15">
        <f t="shared" si="7"/>
        <v>57.131</v>
      </c>
    </row>
    <row r="72" spans="2:11">
      <c r="B72" s="12">
        <f t="shared" si="4"/>
        <v>45962</v>
      </c>
      <c r="C72" s="7">
        <v>45969</v>
      </c>
      <c r="D72" s="8">
        <v>7925</v>
      </c>
      <c r="E72" s="9">
        <v>9534.4619999999995</v>
      </c>
      <c r="F72" s="8">
        <v>9178</v>
      </c>
      <c r="G72" s="8">
        <v>7240</v>
      </c>
      <c r="H72" s="10">
        <f t="shared" si="5"/>
        <v>89680091.349999994</v>
      </c>
      <c r="I72" s="14">
        <f>VLOOKUP(C72,'Draw Data'!A:B,2,0)</f>
        <v>56110</v>
      </c>
      <c r="J72" s="10">
        <f t="shared" si="6"/>
        <v>1598.2907030832293</v>
      </c>
      <c r="K72" s="15">
        <f t="shared" si="7"/>
        <v>56.11</v>
      </c>
    </row>
    <row r="73" spans="2:11">
      <c r="B73" s="12">
        <f t="shared" si="4"/>
        <v>45962</v>
      </c>
      <c r="C73" s="7">
        <v>45970</v>
      </c>
      <c r="D73" s="8">
        <v>7828</v>
      </c>
      <c r="E73" s="9">
        <v>9630.8430000000008</v>
      </c>
      <c r="F73" s="8">
        <v>9044</v>
      </c>
      <c r="G73" s="8">
        <v>7640</v>
      </c>
      <c r="H73" s="10">
        <f t="shared" si="5"/>
        <v>89738479.004000008</v>
      </c>
      <c r="I73" s="14">
        <f>VLOOKUP(C73,'Draw Data'!A:B,2,0)</f>
        <v>56717</v>
      </c>
      <c r="J73" s="10">
        <f t="shared" si="6"/>
        <v>1582.2148386550771</v>
      </c>
      <c r="K73" s="15">
        <f t="shared" si="7"/>
        <v>56.716999999999999</v>
      </c>
    </row>
    <row r="74" spans="2:11">
      <c r="B74" s="12">
        <f t="shared" si="4"/>
        <v>45962</v>
      </c>
      <c r="C74" s="7">
        <v>45971</v>
      </c>
      <c r="D74" s="8">
        <v>7906</v>
      </c>
      <c r="E74" s="9">
        <v>9678.1020000000008</v>
      </c>
      <c r="F74" s="8">
        <v>9129</v>
      </c>
      <c r="G74" s="8">
        <v>8630</v>
      </c>
      <c r="H74" s="10">
        <f t="shared" si="5"/>
        <v>91787814.412</v>
      </c>
      <c r="I74" s="14">
        <f>VLOOKUP(C74,'Draw Data'!A:B,2,0)</f>
        <v>59970</v>
      </c>
      <c r="J74" s="10">
        <f t="shared" si="6"/>
        <v>1530.562187960647</v>
      </c>
      <c r="K74" s="15">
        <f t="shared" si="7"/>
        <v>59.97</v>
      </c>
    </row>
    <row r="75" spans="2:11">
      <c r="B75" s="12">
        <f t="shared" si="4"/>
        <v>45962</v>
      </c>
      <c r="C75" s="7">
        <v>45972</v>
      </c>
      <c r="D75" s="8">
        <v>7890</v>
      </c>
      <c r="E75" s="9">
        <v>9714.0210000000006</v>
      </c>
      <c r="F75" s="8">
        <v>9148</v>
      </c>
      <c r="G75" s="8">
        <v>8870</v>
      </c>
      <c r="H75" s="10">
        <f t="shared" si="5"/>
        <v>92139105.689999998</v>
      </c>
      <c r="I75" s="14">
        <f>VLOOKUP(C75,'Draw Data'!A:B,2,0)</f>
        <v>60437</v>
      </c>
      <c r="J75" s="10">
        <f t="shared" si="6"/>
        <v>1524.5479704485663</v>
      </c>
      <c r="K75" s="15">
        <f t="shared" si="7"/>
        <v>60.436999999999998</v>
      </c>
    </row>
    <row r="76" spans="2:11">
      <c r="B76" s="12">
        <f t="shared" si="4"/>
        <v>45962</v>
      </c>
      <c r="C76" s="7">
        <v>45973</v>
      </c>
      <c r="D76" s="8">
        <v>7837</v>
      </c>
      <c r="E76" s="9">
        <v>9715.3580000000002</v>
      </c>
      <c r="F76" s="8">
        <v>9141</v>
      </c>
      <c r="G76" s="8">
        <v>9310</v>
      </c>
      <c r="H76" s="10">
        <f t="shared" si="5"/>
        <v>92007120.645999998</v>
      </c>
      <c r="I76" s="14">
        <f>VLOOKUP(C76,'Draw Data'!A:B,2,0)</f>
        <v>60744</v>
      </c>
      <c r="J76" s="10">
        <f t="shared" si="6"/>
        <v>1514.6701015079677</v>
      </c>
      <c r="K76" s="15">
        <f t="shared" si="7"/>
        <v>60.744</v>
      </c>
    </row>
    <row r="77" spans="2:11">
      <c r="B77" s="12">
        <f t="shared" si="4"/>
        <v>45962</v>
      </c>
      <c r="C77" s="7">
        <v>45974</v>
      </c>
      <c r="D77" s="8">
        <v>7906</v>
      </c>
      <c r="E77" s="9">
        <v>9761.732</v>
      </c>
      <c r="F77" s="8">
        <v>9134</v>
      </c>
      <c r="G77" s="8">
        <v>8940</v>
      </c>
      <c r="H77" s="10">
        <f t="shared" si="5"/>
        <v>92719893.192000002</v>
      </c>
      <c r="I77" s="14">
        <f>VLOOKUP(C77,'Draw Data'!A:B,2,0)</f>
        <v>60391</v>
      </c>
      <c r="J77" s="10">
        <f t="shared" si="6"/>
        <v>1535.3263431968339</v>
      </c>
      <c r="K77" s="15">
        <f t="shared" si="7"/>
        <v>60.390999999999998</v>
      </c>
    </row>
    <row r="78" spans="2:11">
      <c r="B78" s="12">
        <f t="shared" si="4"/>
        <v>45962</v>
      </c>
      <c r="C78" s="7">
        <v>45975</v>
      </c>
      <c r="D78" s="8">
        <v>8318</v>
      </c>
      <c r="E78" s="9">
        <v>9142.6280000000006</v>
      </c>
      <c r="F78" s="8">
        <v>9113</v>
      </c>
      <c r="G78" s="8">
        <v>9830</v>
      </c>
      <c r="H78" s="10">
        <f t="shared" si="5"/>
        <v>92339359.704000011</v>
      </c>
      <c r="I78" s="14">
        <f>VLOOKUP(C78,'Draw Data'!A:B,2,0)</f>
        <v>59879</v>
      </c>
      <c r="J78" s="10">
        <f t="shared" si="6"/>
        <v>1542.0992285108305</v>
      </c>
      <c r="K78" s="15">
        <f t="shared" si="7"/>
        <v>59.878999999999998</v>
      </c>
    </row>
    <row r="79" spans="2:11">
      <c r="B79" s="12">
        <f t="shared" si="4"/>
        <v>45962</v>
      </c>
      <c r="C79" s="7">
        <v>45976</v>
      </c>
      <c r="D79" s="8">
        <v>8220</v>
      </c>
      <c r="E79" s="9">
        <v>9415.4349999999995</v>
      </c>
      <c r="F79" s="8">
        <v>9248</v>
      </c>
      <c r="G79" s="8">
        <v>8650</v>
      </c>
      <c r="H79" s="10">
        <f t="shared" si="5"/>
        <v>92787155.700000003</v>
      </c>
      <c r="I79" s="14">
        <f>VLOOKUP(C79,'Draw Data'!A:B,2,0)</f>
        <v>59829</v>
      </c>
      <c r="J79" s="10">
        <f t="shared" si="6"/>
        <v>1550.8725818582961</v>
      </c>
      <c r="K79" s="15">
        <f t="shared" si="7"/>
        <v>59.829000000000001</v>
      </c>
    </row>
    <row r="80" spans="2:11">
      <c r="B80" s="12">
        <f t="shared" si="4"/>
        <v>45962</v>
      </c>
      <c r="C80" s="7">
        <v>45977</v>
      </c>
      <c r="D80" s="8">
        <v>8355</v>
      </c>
      <c r="E80" s="9">
        <v>9338.0190000000002</v>
      </c>
      <c r="F80" s="8">
        <v>9026</v>
      </c>
      <c r="G80" s="8">
        <v>8620</v>
      </c>
      <c r="H80" s="10">
        <f t="shared" si="5"/>
        <v>93194708.745000005</v>
      </c>
      <c r="I80" s="14">
        <f>VLOOKUP(C80,'Draw Data'!A:B,2,0)</f>
        <v>60635</v>
      </c>
      <c r="J80" s="10">
        <f t="shared" si="6"/>
        <v>1536.978786921745</v>
      </c>
      <c r="K80" s="15">
        <f t="shared" si="7"/>
        <v>60.634999999999998</v>
      </c>
    </row>
    <row r="81" spans="2:11">
      <c r="B81" s="12">
        <f t="shared" si="4"/>
        <v>45962</v>
      </c>
      <c r="C81" s="7">
        <v>45978</v>
      </c>
      <c r="D81" s="8">
        <v>8335</v>
      </c>
      <c r="E81" s="9">
        <v>9245.5630000000001</v>
      </c>
      <c r="F81" s="8">
        <v>9172</v>
      </c>
      <c r="G81" s="8">
        <v>10540</v>
      </c>
      <c r="H81" s="10">
        <f t="shared" si="5"/>
        <v>94014087.605000004</v>
      </c>
      <c r="I81" s="14">
        <f>VLOOKUP(C81,'Draw Data'!A:B,2,0)</f>
        <v>61126</v>
      </c>
      <c r="J81" s="10">
        <f t="shared" si="6"/>
        <v>1538.0376207342213</v>
      </c>
      <c r="K81" s="15">
        <f t="shared" si="7"/>
        <v>61.125999999999998</v>
      </c>
    </row>
    <row r="82" spans="2:11">
      <c r="B82" s="12">
        <f t="shared" si="4"/>
        <v>45962</v>
      </c>
      <c r="C82" s="7">
        <v>45979</v>
      </c>
      <c r="D82" s="8">
        <v>8362</v>
      </c>
      <c r="E82" s="9">
        <v>9194.0640000000003</v>
      </c>
      <c r="F82" s="8">
        <v>9252</v>
      </c>
      <c r="G82" s="8">
        <v>10720</v>
      </c>
      <c r="H82" s="10">
        <f t="shared" si="5"/>
        <v>94056683.167999998</v>
      </c>
      <c r="I82" s="14">
        <f>VLOOKUP(C82,'Draw Data'!A:B,2,0)</f>
        <v>61237</v>
      </c>
      <c r="J82" s="10">
        <f t="shared" si="6"/>
        <v>1535.9453135849242</v>
      </c>
      <c r="K82" s="15">
        <f t="shared" si="7"/>
        <v>61.237000000000002</v>
      </c>
    </row>
    <row r="83" spans="2:11">
      <c r="B83" s="12">
        <f t="shared" si="4"/>
        <v>45962</v>
      </c>
      <c r="C83" s="7">
        <v>45980</v>
      </c>
      <c r="D83" s="8">
        <v>8259</v>
      </c>
      <c r="E83" s="9">
        <v>9266.7829999999994</v>
      </c>
      <c r="F83" s="8">
        <v>9094</v>
      </c>
      <c r="G83" s="8">
        <v>10330</v>
      </c>
      <c r="H83" s="10">
        <f t="shared" si="5"/>
        <v>93239000.796999991</v>
      </c>
      <c r="I83" s="14">
        <f>VLOOKUP(C83,'Draw Data'!A:B,2,0)</f>
        <v>60594</v>
      </c>
      <c r="J83" s="10">
        <f t="shared" si="6"/>
        <v>1538.7497243456446</v>
      </c>
      <c r="K83" s="15">
        <f t="shared" si="7"/>
        <v>60.594000000000001</v>
      </c>
    </row>
    <row r="84" spans="2:11">
      <c r="B84" s="12">
        <f t="shared" si="4"/>
        <v>45962</v>
      </c>
      <c r="C84" s="7">
        <v>45981</v>
      </c>
      <c r="D84" s="8">
        <v>8294</v>
      </c>
      <c r="E84" s="9">
        <v>9105.1579999999994</v>
      </c>
      <c r="F84" s="8">
        <v>9163</v>
      </c>
      <c r="G84" s="8">
        <v>9570</v>
      </c>
      <c r="H84" s="10">
        <f t="shared" si="5"/>
        <v>91628560.451999992</v>
      </c>
      <c r="I84" s="14">
        <f>VLOOKUP(C84,'Draw Data'!A:B,2,0)</f>
        <v>59704</v>
      </c>
      <c r="J84" s="10">
        <f t="shared" si="6"/>
        <v>1534.7139295859572</v>
      </c>
      <c r="K84" s="15">
        <f t="shared" si="7"/>
        <v>59.704000000000001</v>
      </c>
    </row>
    <row r="85" spans="2:11">
      <c r="B85" s="12">
        <f t="shared" si="4"/>
        <v>45962</v>
      </c>
      <c r="C85" s="7">
        <v>45982</v>
      </c>
      <c r="D85" s="8">
        <v>8128</v>
      </c>
      <c r="E85" s="9">
        <v>9290.7999999999993</v>
      </c>
      <c r="F85" s="8">
        <v>9144</v>
      </c>
      <c r="G85" s="8">
        <v>9480</v>
      </c>
      <c r="H85" s="10">
        <f t="shared" si="5"/>
        <v>91532262.399999991</v>
      </c>
      <c r="I85" s="14">
        <f>VLOOKUP(C85,'Draw Data'!A:B,2,0)</f>
        <v>58344</v>
      </c>
      <c r="J85" s="10">
        <f t="shared" si="6"/>
        <v>1568.8376251199779</v>
      </c>
      <c r="K85" s="15">
        <f t="shared" si="7"/>
        <v>58.344000000000001</v>
      </c>
    </row>
    <row r="86" spans="2:11">
      <c r="B86" s="12">
        <f t="shared" si="4"/>
        <v>45962</v>
      </c>
      <c r="C86" s="7">
        <v>45983</v>
      </c>
      <c r="D86" s="8">
        <v>8075</v>
      </c>
      <c r="E86" s="9">
        <v>9275.5550000000003</v>
      </c>
      <c r="F86" s="8">
        <v>9186</v>
      </c>
      <c r="G86" s="8">
        <v>6610</v>
      </c>
      <c r="H86" s="10">
        <f t="shared" si="5"/>
        <v>88484666.625</v>
      </c>
      <c r="I86" s="14">
        <f>VLOOKUP(C86,'Draw Data'!A:B,2,0)</f>
        <v>55234</v>
      </c>
      <c r="J86" s="10">
        <f t="shared" si="6"/>
        <v>1601.9963541478076</v>
      </c>
      <c r="K86" s="15">
        <f t="shared" si="7"/>
        <v>55.234000000000002</v>
      </c>
    </row>
    <row r="87" spans="2:11">
      <c r="B87" s="12">
        <f t="shared" si="4"/>
        <v>45962</v>
      </c>
      <c r="C87" s="7">
        <v>45984</v>
      </c>
      <c r="D87" s="8">
        <v>8028</v>
      </c>
      <c r="E87" s="9">
        <v>9227.6229999999996</v>
      </c>
      <c r="F87" s="8">
        <v>9059</v>
      </c>
      <c r="G87" s="8">
        <v>6640</v>
      </c>
      <c r="H87" s="10">
        <f t="shared" si="5"/>
        <v>87580497.443999991</v>
      </c>
      <c r="I87" s="14">
        <f>VLOOKUP(C87,'Draw Data'!A:B,2,0)</f>
        <v>56366</v>
      </c>
      <c r="J87" s="10">
        <f t="shared" si="6"/>
        <v>1553.7823766809777</v>
      </c>
      <c r="K87" s="15">
        <f t="shared" si="7"/>
        <v>56.366</v>
      </c>
    </row>
    <row r="88" spans="2:11">
      <c r="B88" s="12">
        <f t="shared" si="4"/>
        <v>45962</v>
      </c>
      <c r="C88" s="7">
        <v>45985</v>
      </c>
      <c r="D88" s="8">
        <v>7965</v>
      </c>
      <c r="E88" s="9">
        <v>9323.4930000000004</v>
      </c>
      <c r="F88" s="8">
        <v>9256</v>
      </c>
      <c r="G88" s="8">
        <v>6300</v>
      </c>
      <c r="H88" s="10">
        <f t="shared" si="5"/>
        <v>87639781.745000005</v>
      </c>
      <c r="I88" s="14">
        <f>VLOOKUP(C88,'Draw Data'!A:B,2,0)</f>
        <v>54231</v>
      </c>
      <c r="J88" s="10">
        <f t="shared" si="6"/>
        <v>1616.0458362375764</v>
      </c>
      <c r="K88" s="15">
        <f t="shared" si="7"/>
        <v>54.231000000000002</v>
      </c>
    </row>
    <row r="89" spans="2:11">
      <c r="B89" s="12">
        <f t="shared" si="4"/>
        <v>45962</v>
      </c>
      <c r="C89" s="7">
        <v>45986</v>
      </c>
      <c r="D89" s="8">
        <v>7869</v>
      </c>
      <c r="E89" s="9">
        <v>9268.0630000000001</v>
      </c>
      <c r="F89" s="8">
        <v>8188</v>
      </c>
      <c r="G89" s="8">
        <v>6890</v>
      </c>
      <c r="H89" s="10">
        <f t="shared" si="5"/>
        <v>85897467.746999994</v>
      </c>
      <c r="I89" s="14">
        <f>VLOOKUP(C89,'Draw Data'!A:B,2,0)</f>
        <v>52637</v>
      </c>
      <c r="J89" s="10">
        <f t="shared" si="6"/>
        <v>1631.8838031612743</v>
      </c>
      <c r="K89" s="15">
        <f t="shared" si="7"/>
        <v>52.637</v>
      </c>
    </row>
    <row r="90" spans="2:11">
      <c r="B90" s="12">
        <f t="shared" si="4"/>
        <v>45962</v>
      </c>
      <c r="C90" s="7">
        <v>45987</v>
      </c>
      <c r="D90" s="8">
        <v>8205</v>
      </c>
      <c r="E90" s="9">
        <v>9210.5650000000005</v>
      </c>
      <c r="F90" s="8">
        <v>8613</v>
      </c>
      <c r="G90" s="8">
        <v>9320</v>
      </c>
      <c r="H90" s="10">
        <f t="shared" si="5"/>
        <v>90995065.825000003</v>
      </c>
      <c r="I90" s="14">
        <f>VLOOKUP(C90,'Draw Data'!A:B,2,0)</f>
        <v>59576</v>
      </c>
      <c r="J90" s="10">
        <f t="shared" si="6"/>
        <v>1527.3779009164764</v>
      </c>
      <c r="K90" s="15">
        <f t="shared" si="7"/>
        <v>59.576000000000001</v>
      </c>
    </row>
    <row r="91" spans="2:11">
      <c r="B91" s="12">
        <f t="shared" si="4"/>
        <v>45962</v>
      </c>
      <c r="C91" s="7">
        <v>45988</v>
      </c>
      <c r="D91" s="8">
        <v>7920</v>
      </c>
      <c r="E91" s="9">
        <v>9275.9140000000007</v>
      </c>
      <c r="F91" s="8">
        <v>8840</v>
      </c>
      <c r="G91" s="8">
        <v>9250</v>
      </c>
      <c r="H91" s="10">
        <f t="shared" si="5"/>
        <v>89022638.88000001</v>
      </c>
      <c r="I91" s="14">
        <f>VLOOKUP(C91,'Draw Data'!A:B,2,0)</f>
        <v>57971</v>
      </c>
      <c r="J91" s="10">
        <f t="shared" si="6"/>
        <v>1535.6409045902262</v>
      </c>
      <c r="K91" s="15">
        <f t="shared" si="7"/>
        <v>57.970999999999997</v>
      </c>
    </row>
    <row r="92" spans="2:11">
      <c r="B92" s="12">
        <f t="shared" si="4"/>
        <v>45962</v>
      </c>
      <c r="C92" s="7">
        <v>45989</v>
      </c>
      <c r="D92" s="8">
        <v>7850</v>
      </c>
      <c r="E92" s="9">
        <v>9307.777</v>
      </c>
      <c r="F92" s="8">
        <v>9090</v>
      </c>
      <c r="G92" s="8">
        <v>10150</v>
      </c>
      <c r="H92" s="10">
        <f t="shared" si="5"/>
        <v>89612449.450000003</v>
      </c>
      <c r="I92" s="14">
        <f>VLOOKUP(C92,'Draw Data'!A:B,2,0)</f>
        <v>58826</v>
      </c>
      <c r="J92" s="10">
        <f t="shared" si="6"/>
        <v>1523.3476600482779</v>
      </c>
      <c r="K92" s="15">
        <f t="shared" si="7"/>
        <v>58.826000000000001</v>
      </c>
    </row>
    <row r="93" spans="2:11">
      <c r="B93" s="12">
        <f t="shared" si="4"/>
        <v>45962</v>
      </c>
      <c r="C93" s="7">
        <v>45990</v>
      </c>
      <c r="D93" s="8">
        <v>7901</v>
      </c>
      <c r="E93" s="9">
        <v>9394.4120000000003</v>
      </c>
      <c r="F93" s="8">
        <v>8210</v>
      </c>
      <c r="G93" s="8">
        <v>9400</v>
      </c>
      <c r="H93" s="10">
        <f t="shared" si="5"/>
        <v>89369849.211999997</v>
      </c>
      <c r="I93" s="14">
        <f>VLOOKUP(C93,'Draw Data'!A:B,2,0)</f>
        <v>55465</v>
      </c>
      <c r="J93" s="10">
        <f t="shared" si="6"/>
        <v>1611.2836782114846</v>
      </c>
      <c r="K93" s="15">
        <f t="shared" si="7"/>
        <v>55.465000000000003</v>
      </c>
    </row>
    <row r="94" spans="2:11">
      <c r="B94" s="12">
        <f t="shared" si="4"/>
        <v>45962</v>
      </c>
      <c r="C94" s="7">
        <v>45991</v>
      </c>
      <c r="D94" s="8">
        <v>7867</v>
      </c>
      <c r="E94" s="9">
        <v>9383.1010000000006</v>
      </c>
      <c r="F94" s="8">
        <v>7380</v>
      </c>
      <c r="G94" s="8">
        <v>9240</v>
      </c>
      <c r="H94" s="10">
        <f t="shared" si="5"/>
        <v>88110055.567000002</v>
      </c>
      <c r="I94" s="14">
        <f>VLOOKUP(C94,'Draw Data'!A:B,2,0)</f>
        <v>54891</v>
      </c>
      <c r="J94" s="10">
        <f t="shared" si="6"/>
        <v>1605.1821895574867</v>
      </c>
      <c r="K94" s="15">
        <f t="shared" si="7"/>
        <v>54.890999999999998</v>
      </c>
    </row>
    <row r="95" spans="2:11">
      <c r="B95" s="12">
        <f t="shared" si="4"/>
        <v>45992</v>
      </c>
      <c r="C95" s="7">
        <v>45992</v>
      </c>
      <c r="D95" s="8">
        <v>8096</v>
      </c>
      <c r="E95" s="9">
        <v>9337.0730000000003</v>
      </c>
      <c r="F95" s="8">
        <v>8600</v>
      </c>
      <c r="G95" s="8">
        <v>8780</v>
      </c>
      <c r="H95" s="10">
        <f t="shared" si="5"/>
        <v>90539743.008000001</v>
      </c>
      <c r="I95" s="14">
        <f>VLOOKUP(C95,'Draw Data'!A:B,2,0)</f>
        <v>57254</v>
      </c>
      <c r="J95" s="10">
        <f t="shared" si="6"/>
        <v>1581.3697384986201</v>
      </c>
      <c r="K95" s="15">
        <f t="shared" si="7"/>
        <v>57.253999999999998</v>
      </c>
    </row>
    <row r="96" spans="2:11">
      <c r="B96" s="12">
        <f t="shared" si="4"/>
        <v>45992</v>
      </c>
      <c r="C96" s="7">
        <v>45993</v>
      </c>
      <c r="D96" s="8">
        <v>8154</v>
      </c>
      <c r="E96" s="9">
        <v>9345.0190000000002</v>
      </c>
      <c r="F96" s="8">
        <v>9140</v>
      </c>
      <c r="G96" s="8">
        <v>8650</v>
      </c>
      <c r="H96" s="10">
        <f t="shared" si="5"/>
        <v>91498684.925999999</v>
      </c>
      <c r="I96" s="14">
        <f>VLOOKUP(C96,'Draw Data'!A:B,2,0)</f>
        <v>59454</v>
      </c>
      <c r="J96" s="10">
        <f t="shared" si="6"/>
        <v>1538.9828258149157</v>
      </c>
      <c r="K96" s="15">
        <f t="shared" si="7"/>
        <v>59.454000000000001</v>
      </c>
    </row>
    <row r="97" spans="2:11">
      <c r="B97" s="12">
        <f t="shared" si="4"/>
        <v>45992</v>
      </c>
      <c r="C97" s="7">
        <v>45994</v>
      </c>
      <c r="D97" s="8">
        <v>8034</v>
      </c>
      <c r="E97" s="9">
        <v>9399.9130000000005</v>
      </c>
      <c r="F97" s="8">
        <v>9240</v>
      </c>
      <c r="G97" s="8">
        <v>9450</v>
      </c>
      <c r="H97" s="10">
        <f t="shared" si="5"/>
        <v>91592301.042000011</v>
      </c>
      <c r="I97" s="14">
        <f>VLOOKUP(C97,'Draw Data'!A:B,2,0)</f>
        <v>58720</v>
      </c>
      <c r="J97" s="10">
        <f t="shared" si="6"/>
        <v>1559.8143910422345</v>
      </c>
      <c r="K97" s="15">
        <f t="shared" si="7"/>
        <v>58.72</v>
      </c>
    </row>
    <row r="98" spans="2:11">
      <c r="B98" s="12">
        <f t="shared" si="4"/>
        <v>45992</v>
      </c>
      <c r="C98" s="7">
        <v>45995</v>
      </c>
      <c r="D98" s="8">
        <v>8085</v>
      </c>
      <c r="E98" s="9">
        <v>9450.4709999999995</v>
      </c>
      <c r="F98" s="8">
        <v>9140</v>
      </c>
      <c r="G98" s="8">
        <v>7200</v>
      </c>
      <c r="H98" s="10">
        <f t="shared" si="5"/>
        <v>90459458.034999996</v>
      </c>
      <c r="I98" s="14">
        <f>VLOOKUP(C98,'Draw Data'!A:B,2,0)</f>
        <v>55570</v>
      </c>
      <c r="J98" s="10">
        <f t="shared" si="6"/>
        <v>1627.8470044088535</v>
      </c>
      <c r="K98" s="15">
        <f t="shared" si="7"/>
        <v>55.57</v>
      </c>
    </row>
    <row r="99" spans="2:11">
      <c r="B99" s="12">
        <f t="shared" si="4"/>
        <v>45992</v>
      </c>
      <c r="C99" s="7">
        <v>45996</v>
      </c>
      <c r="D99" s="8">
        <v>7964</v>
      </c>
      <c r="E99" s="9">
        <v>9466.9860000000008</v>
      </c>
      <c r="F99" s="8">
        <v>9150</v>
      </c>
      <c r="G99" s="8">
        <v>7780</v>
      </c>
      <c r="H99" s="10">
        <f t="shared" si="5"/>
        <v>89954876.504000008</v>
      </c>
      <c r="I99" s="14">
        <f>VLOOKUP(C99,'Draw Data'!A:B,2,0)</f>
        <v>58537</v>
      </c>
      <c r="J99" s="10">
        <f t="shared" si="6"/>
        <v>1536.718255189026</v>
      </c>
      <c r="K99" s="15">
        <f t="shared" si="7"/>
        <v>58.536999999999999</v>
      </c>
    </row>
    <row r="100" spans="2:11">
      <c r="B100" s="12">
        <f t="shared" si="4"/>
        <v>45992</v>
      </c>
      <c r="C100" s="7">
        <v>45997</v>
      </c>
      <c r="D100" s="8">
        <v>8012</v>
      </c>
      <c r="E100" s="9">
        <v>9564.7279999999992</v>
      </c>
      <c r="F100" s="8">
        <v>9210</v>
      </c>
      <c r="G100" s="8">
        <v>10040</v>
      </c>
      <c r="H100" s="10">
        <f t="shared" si="5"/>
        <v>93187600.735999987</v>
      </c>
      <c r="I100" s="14">
        <f>VLOOKUP(C100,'Draw Data'!A:B,2,0)</f>
        <v>61912</v>
      </c>
      <c r="J100" s="10">
        <f t="shared" si="6"/>
        <v>1505.162177542318</v>
      </c>
      <c r="K100" s="15">
        <f t="shared" si="7"/>
        <v>61.911999999999999</v>
      </c>
    </row>
    <row r="101" spans="2:11">
      <c r="B101" s="12">
        <f t="shared" si="4"/>
        <v>45992</v>
      </c>
      <c r="C101" s="7">
        <v>45998</v>
      </c>
      <c r="D101" s="8">
        <v>7872</v>
      </c>
      <c r="E101" s="9">
        <v>9596.2150000000001</v>
      </c>
      <c r="F101" s="8">
        <v>9180</v>
      </c>
      <c r="G101" s="8">
        <v>8930</v>
      </c>
      <c r="H101" s="10">
        <f t="shared" si="5"/>
        <v>91116004.480000004</v>
      </c>
      <c r="I101" s="14">
        <f>VLOOKUP(C101,'Draw Data'!A:B,2,0)</f>
        <v>60057</v>
      </c>
      <c r="J101" s="10">
        <f t="shared" si="6"/>
        <v>1517.1587738315268</v>
      </c>
      <c r="K101" s="15">
        <f t="shared" si="7"/>
        <v>60.057000000000002</v>
      </c>
    </row>
    <row r="102" spans="2:11">
      <c r="B102" s="12">
        <f t="shared" si="4"/>
        <v>45992</v>
      </c>
      <c r="C102" s="7">
        <v>45999</v>
      </c>
      <c r="D102" s="8">
        <v>7796</v>
      </c>
      <c r="E102" s="9">
        <v>9696.0300000000007</v>
      </c>
      <c r="F102" s="8">
        <v>8220</v>
      </c>
      <c r="G102" s="8">
        <v>7120</v>
      </c>
      <c r="H102" s="10">
        <f t="shared" si="5"/>
        <v>88782649.88000001</v>
      </c>
      <c r="I102" s="14">
        <f>VLOOKUP(C102,'Draw Data'!A:B,2,0)</f>
        <v>55441</v>
      </c>
      <c r="J102" s="10">
        <f t="shared" si="6"/>
        <v>1601.389763532404</v>
      </c>
      <c r="K102" s="15">
        <f t="shared" si="7"/>
        <v>55.441000000000003</v>
      </c>
    </row>
    <row r="103" spans="2:11">
      <c r="B103" s="12">
        <f t="shared" si="4"/>
        <v>45992</v>
      </c>
      <c r="C103" s="7">
        <v>46000</v>
      </c>
      <c r="D103" s="8">
        <v>7633</v>
      </c>
      <c r="E103" s="9">
        <v>9732.5390000000007</v>
      </c>
      <c r="F103" s="8">
        <v>6630</v>
      </c>
      <c r="G103" s="8">
        <v>8430</v>
      </c>
      <c r="H103" s="10">
        <f t="shared" si="5"/>
        <v>87240070.187000006</v>
      </c>
      <c r="I103" s="14">
        <f>VLOOKUP(C103,'Draw Data'!A:B,2,0)</f>
        <v>52322</v>
      </c>
      <c r="J103" s="10">
        <f t="shared" si="6"/>
        <v>1667.3687968158711</v>
      </c>
      <c r="K103" s="15">
        <f t="shared" si="7"/>
        <v>52.322000000000003</v>
      </c>
    </row>
    <row r="104" spans="2:11">
      <c r="B104" s="12">
        <f t="shared" si="4"/>
        <v>45992</v>
      </c>
      <c r="C104" s="7">
        <v>46001</v>
      </c>
      <c r="D104" s="8">
        <v>7659</v>
      </c>
      <c r="E104" s="9">
        <v>9792.6630000000005</v>
      </c>
      <c r="F104" s="8">
        <v>7360</v>
      </c>
      <c r="G104" s="8">
        <v>6190</v>
      </c>
      <c r="H104" s="10">
        <f t="shared" si="5"/>
        <v>86655005.917000011</v>
      </c>
      <c r="I104" s="14">
        <f>VLOOKUP(C104,'Draw Data'!A:B,2,0)</f>
        <v>52425</v>
      </c>
      <c r="J104" s="10">
        <f t="shared" si="6"/>
        <v>1652.9328739532668</v>
      </c>
      <c r="K104" s="15">
        <f t="shared" si="7"/>
        <v>52.424999999999997</v>
      </c>
    </row>
    <row r="105" spans="2:11">
      <c r="B105" s="12">
        <f t="shared" si="4"/>
        <v>45992</v>
      </c>
      <c r="C105" s="7">
        <v>46002</v>
      </c>
      <c r="D105" s="8">
        <v>7690</v>
      </c>
      <c r="E105" s="9">
        <v>9642.6149999999998</v>
      </c>
      <c r="F105" s="8">
        <v>8720</v>
      </c>
      <c r="G105" s="8">
        <v>8820</v>
      </c>
      <c r="H105" s="10">
        <f t="shared" si="5"/>
        <v>89236109.349999994</v>
      </c>
      <c r="I105" s="14">
        <f>VLOOKUP(C105,'Draw Data'!A:B,2,0)</f>
        <v>57136</v>
      </c>
      <c r="J105" s="10">
        <f t="shared" si="6"/>
        <v>1561.8193319448333</v>
      </c>
      <c r="K105" s="15">
        <f t="shared" si="7"/>
        <v>57.136000000000003</v>
      </c>
    </row>
    <row r="106" spans="2:11">
      <c r="B106" s="12">
        <f t="shared" si="4"/>
        <v>45992</v>
      </c>
      <c r="C106" s="7">
        <v>46003</v>
      </c>
      <c r="D106" s="8">
        <v>7893</v>
      </c>
      <c r="E106" s="9">
        <v>9452.4</v>
      </c>
      <c r="F106" s="8">
        <v>8833</v>
      </c>
      <c r="G106" s="8">
        <v>7630</v>
      </c>
      <c r="H106" s="10">
        <f t="shared" si="5"/>
        <v>88765973.200000003</v>
      </c>
      <c r="I106" s="14">
        <f>VLOOKUP(C106,'Draw Data'!A:B,2,0)</f>
        <v>56271</v>
      </c>
      <c r="J106" s="10">
        <f t="shared" si="6"/>
        <v>1577.4728225906774</v>
      </c>
      <c r="K106" s="15">
        <f t="shared" si="7"/>
        <v>56.271000000000001</v>
      </c>
    </row>
    <row r="107" spans="2:11">
      <c r="B107" s="12">
        <f t="shared" si="4"/>
        <v>45992</v>
      </c>
      <c r="C107" s="7">
        <v>46004</v>
      </c>
      <c r="D107" s="8">
        <v>8127</v>
      </c>
      <c r="E107" s="9">
        <v>9294.6350000000002</v>
      </c>
      <c r="F107" s="8">
        <v>9407</v>
      </c>
      <c r="G107" s="8">
        <v>7430</v>
      </c>
      <c r="H107" s="10">
        <f t="shared" si="5"/>
        <v>90017318.644999996</v>
      </c>
      <c r="I107" s="14">
        <f>VLOOKUP(C107,'Draw Data'!A:B,2,0)</f>
        <v>56243</v>
      </c>
      <c r="J107" s="10">
        <f t="shared" si="6"/>
        <v>1600.5070612342868</v>
      </c>
      <c r="K107" s="15">
        <f t="shared" si="7"/>
        <v>56.243000000000002</v>
      </c>
    </row>
    <row r="108" spans="2:11">
      <c r="B108" s="12">
        <f t="shared" si="4"/>
        <v>45992</v>
      </c>
      <c r="C108" s="7">
        <v>46005</v>
      </c>
      <c r="D108" s="8">
        <v>8019</v>
      </c>
      <c r="E108" s="9">
        <v>9336.84</v>
      </c>
      <c r="F108" s="8">
        <v>9190</v>
      </c>
      <c r="G108" s="8">
        <v>7360</v>
      </c>
      <c r="H108" s="10">
        <f t="shared" si="5"/>
        <v>89105119.960000008</v>
      </c>
      <c r="I108" s="14">
        <f>VLOOKUP(C108,'Draw Data'!A:B,2,0)</f>
        <v>56429</v>
      </c>
      <c r="J108" s="10">
        <f t="shared" si="6"/>
        <v>1579.066082333552</v>
      </c>
      <c r="K108" s="15">
        <f t="shared" si="7"/>
        <v>56.429000000000002</v>
      </c>
    </row>
    <row r="109" spans="2:11">
      <c r="B109" s="12">
        <f t="shared" si="4"/>
        <v>45992</v>
      </c>
      <c r="C109" s="7">
        <v>46006</v>
      </c>
      <c r="D109" s="8">
        <v>8073</v>
      </c>
      <c r="E109" s="9">
        <v>9301.7369999999992</v>
      </c>
      <c r="F109" s="8">
        <v>8970</v>
      </c>
      <c r="G109" s="8">
        <v>9250</v>
      </c>
      <c r="H109" s="10">
        <f t="shared" si="5"/>
        <v>90762122.800999999</v>
      </c>
      <c r="I109" s="14">
        <f>VLOOKUP(C109,'Draw Data'!A:B,2,0)</f>
        <v>58496</v>
      </c>
      <c r="J109" s="10">
        <f t="shared" si="6"/>
        <v>1551.5953706407277</v>
      </c>
      <c r="K109" s="15">
        <f t="shared" si="7"/>
        <v>58.496000000000002</v>
      </c>
    </row>
    <row r="110" spans="2:11">
      <c r="B110" s="12">
        <f t="shared" si="4"/>
        <v>45992</v>
      </c>
      <c r="C110" s="7">
        <v>46007</v>
      </c>
      <c r="D110" s="8">
        <v>8062</v>
      </c>
      <c r="E110" s="9">
        <v>9386.1119999999992</v>
      </c>
      <c r="F110" s="8">
        <v>9180</v>
      </c>
      <c r="G110" s="8">
        <v>10640</v>
      </c>
      <c r="H110" s="10">
        <f t="shared" si="5"/>
        <v>92716034.943999991</v>
      </c>
      <c r="I110" s="14">
        <f>VLOOKUP(C110,'Draw Data'!A:B,2,0)</f>
        <v>60699</v>
      </c>
      <c r="J110" s="10">
        <f t="shared" si="6"/>
        <v>1527.4721979604276</v>
      </c>
      <c r="K110" s="15">
        <f t="shared" si="7"/>
        <v>60.698999999999998</v>
      </c>
    </row>
    <row r="111" spans="2:11">
      <c r="B111" s="12">
        <f t="shared" si="4"/>
        <v>45992</v>
      </c>
      <c r="C111" s="7">
        <v>46008</v>
      </c>
      <c r="D111" s="8">
        <v>8011</v>
      </c>
      <c r="E111" s="9">
        <v>9341.2019999999993</v>
      </c>
      <c r="F111" s="8">
        <v>8896</v>
      </c>
      <c r="G111" s="8">
        <v>10790</v>
      </c>
      <c r="H111" s="10">
        <f t="shared" si="5"/>
        <v>91762329.221999988</v>
      </c>
      <c r="I111" s="14">
        <f>VLOOKUP(C111,'Draw Data'!A:B,2,0)</f>
        <v>60889</v>
      </c>
      <c r="J111" s="10">
        <f t="shared" si="6"/>
        <v>1507.0428028379508</v>
      </c>
      <c r="K111" s="15">
        <f t="shared" si="7"/>
        <v>60.889000000000003</v>
      </c>
    </row>
    <row r="112" spans="2:11">
      <c r="B112" s="12">
        <f t="shared" si="4"/>
        <v>45992</v>
      </c>
      <c r="C112" s="7">
        <v>46009</v>
      </c>
      <c r="D112" s="8">
        <v>7982</v>
      </c>
      <c r="E112" s="9">
        <v>9359.8919999999998</v>
      </c>
      <c r="F112" s="8">
        <v>9454</v>
      </c>
      <c r="G112" s="8">
        <v>10460</v>
      </c>
      <c r="H112" s="10">
        <f t="shared" si="5"/>
        <v>91836697.944000006</v>
      </c>
      <c r="I112" s="14">
        <f>VLOOKUP(C112,'Draw Data'!A:B,2,0)</f>
        <v>59233</v>
      </c>
      <c r="J112" s="10">
        <f t="shared" si="6"/>
        <v>1550.4313126804316</v>
      </c>
      <c r="K112" s="15">
        <f t="shared" si="7"/>
        <v>59.232999999999997</v>
      </c>
    </row>
    <row r="113" spans="2:11">
      <c r="B113" s="12">
        <f t="shared" si="4"/>
        <v>45992</v>
      </c>
      <c r="C113" s="7">
        <v>46010</v>
      </c>
      <c r="D113" s="8">
        <v>7982</v>
      </c>
      <c r="E113" s="9">
        <v>9441.3680000000004</v>
      </c>
      <c r="F113" s="8">
        <v>9150</v>
      </c>
      <c r="G113" s="8">
        <v>9950</v>
      </c>
      <c r="H113" s="10">
        <f t="shared" si="5"/>
        <v>91786999.376000002</v>
      </c>
      <c r="I113" s="14">
        <f>VLOOKUP(C113,'Draw Data'!A:B,2,0)</f>
        <v>60732</v>
      </c>
      <c r="J113" s="10">
        <f t="shared" si="6"/>
        <v>1511.344914970691</v>
      </c>
      <c r="K113" s="15">
        <f t="shared" si="7"/>
        <v>60.731999999999999</v>
      </c>
    </row>
    <row r="114" spans="2:11">
      <c r="B114" s="12">
        <f t="shared" si="4"/>
        <v>45992</v>
      </c>
      <c r="C114" s="7">
        <v>46011</v>
      </c>
      <c r="D114" s="8">
        <v>8046</v>
      </c>
      <c r="E114" s="9">
        <v>9411.8279999999995</v>
      </c>
      <c r="F114" s="8">
        <v>9060</v>
      </c>
      <c r="G114" s="8">
        <v>10090</v>
      </c>
      <c r="H114" s="10">
        <f t="shared" si="5"/>
        <v>92196568.088</v>
      </c>
      <c r="I114" s="14">
        <f>VLOOKUP(C114,'Draw Data'!A:B,2,0)</f>
        <v>60234</v>
      </c>
      <c r="J114" s="10">
        <f t="shared" si="6"/>
        <v>1530.6399722415911</v>
      </c>
      <c r="K114" s="15">
        <f t="shared" si="7"/>
        <v>60.234000000000002</v>
      </c>
    </row>
    <row r="115" spans="2:11">
      <c r="B115" s="12">
        <f t="shared" si="4"/>
        <v>45992</v>
      </c>
      <c r="C115" s="7">
        <v>46012</v>
      </c>
      <c r="D115" s="8">
        <v>8126</v>
      </c>
      <c r="E115" s="9">
        <v>9421.6059999999998</v>
      </c>
      <c r="F115" s="8">
        <v>9190</v>
      </c>
      <c r="G115" s="8">
        <v>9330</v>
      </c>
      <c r="H115" s="10">
        <f t="shared" si="5"/>
        <v>92487170.355999991</v>
      </c>
      <c r="I115" s="14">
        <f>VLOOKUP(C115,'Draw Data'!A:B,2,0)</f>
        <v>60238</v>
      </c>
      <c r="J115" s="10">
        <f t="shared" si="6"/>
        <v>1535.3625677479331</v>
      </c>
      <c r="K115" s="15">
        <f t="shared" si="7"/>
        <v>60.238</v>
      </c>
    </row>
    <row r="116" spans="2:11">
      <c r="B116" s="12">
        <f t="shared" si="4"/>
        <v>45992</v>
      </c>
      <c r="C116" s="7">
        <v>46013</v>
      </c>
      <c r="D116" s="8">
        <v>8080</v>
      </c>
      <c r="E116" s="9">
        <v>9439.4740000000002</v>
      </c>
      <c r="F116" s="8">
        <v>9190</v>
      </c>
      <c r="G116" s="8">
        <v>10000</v>
      </c>
      <c r="H116" s="10">
        <f t="shared" si="5"/>
        <v>92774349.920000002</v>
      </c>
      <c r="I116" s="14">
        <f>VLOOKUP(C116,'Draw Data'!A:B,2,0)</f>
        <v>61110</v>
      </c>
      <c r="J116" s="10">
        <f t="shared" si="6"/>
        <v>1518.1533287514319</v>
      </c>
      <c r="K116" s="15">
        <f t="shared" si="7"/>
        <v>61.11</v>
      </c>
    </row>
    <row r="117" spans="2:11">
      <c r="B117" s="12">
        <f t="shared" si="4"/>
        <v>45992</v>
      </c>
      <c r="C117" s="7">
        <v>46014</v>
      </c>
      <c r="D117" s="8">
        <v>8053</v>
      </c>
      <c r="E117" s="9">
        <v>9510.8680000000004</v>
      </c>
      <c r="F117" s="8">
        <v>9200</v>
      </c>
      <c r="G117" s="8">
        <v>9940</v>
      </c>
      <c r="H117" s="10">
        <f t="shared" si="5"/>
        <v>93051420.004000008</v>
      </c>
      <c r="I117" s="14">
        <f>VLOOKUP(C117,'Draw Data'!A:B,2,0)</f>
        <v>61800</v>
      </c>
      <c r="J117" s="10">
        <f t="shared" si="6"/>
        <v>1505.6864078317153</v>
      </c>
      <c r="K117" s="15">
        <f t="shared" si="7"/>
        <v>61.8</v>
      </c>
    </row>
    <row r="118" spans="2:11">
      <c r="B118" s="12">
        <f t="shared" si="4"/>
        <v>45992</v>
      </c>
      <c r="C118" s="7">
        <v>46015</v>
      </c>
      <c r="D118" s="8">
        <v>8226</v>
      </c>
      <c r="E118" s="9">
        <v>9488.76</v>
      </c>
      <c r="F118" s="8">
        <v>9110</v>
      </c>
      <c r="G118" s="8">
        <v>10250</v>
      </c>
      <c r="H118" s="10">
        <f t="shared" si="5"/>
        <v>94704139.760000005</v>
      </c>
      <c r="I118" s="14">
        <f>VLOOKUP(C118,'Draw Data'!A:B,2,0)</f>
        <v>62405</v>
      </c>
      <c r="J118" s="10">
        <f t="shared" si="6"/>
        <v>1517.5729470395001</v>
      </c>
      <c r="K118" s="15">
        <f t="shared" si="7"/>
        <v>62.405000000000001</v>
      </c>
    </row>
    <row r="119" spans="2:11">
      <c r="B119" s="12">
        <f t="shared" si="4"/>
        <v>45992</v>
      </c>
      <c r="C119" s="7">
        <v>46016</v>
      </c>
      <c r="D119" s="8">
        <v>8135</v>
      </c>
      <c r="E119" s="9">
        <v>9498.1939999999995</v>
      </c>
      <c r="F119" s="8">
        <v>9190</v>
      </c>
      <c r="G119" s="8">
        <v>8870</v>
      </c>
      <c r="H119" s="10">
        <f t="shared" si="5"/>
        <v>92799408.189999998</v>
      </c>
      <c r="I119" s="14">
        <f>VLOOKUP(C119,'Draw Data'!A:B,2,0)</f>
        <v>61089</v>
      </c>
      <c r="J119" s="10">
        <f t="shared" si="6"/>
        <v>1519.0854031003944</v>
      </c>
      <c r="K119" s="15">
        <f t="shared" si="7"/>
        <v>61.088999999999999</v>
      </c>
    </row>
    <row r="120" spans="2:11">
      <c r="B120" s="12">
        <f t="shared" si="4"/>
        <v>45992</v>
      </c>
      <c r="C120" s="7">
        <v>46017</v>
      </c>
      <c r="D120" s="8">
        <v>7998</v>
      </c>
      <c r="E120" s="9">
        <v>9534.1219999999994</v>
      </c>
      <c r="F120" s="8">
        <v>9190</v>
      </c>
      <c r="G120" s="8">
        <v>9170</v>
      </c>
      <c r="H120" s="10">
        <f t="shared" si="5"/>
        <v>92043507.755999997</v>
      </c>
      <c r="I120" s="14">
        <f>VLOOKUP(C120,'Draw Data'!A:B,2,0)</f>
        <v>60791</v>
      </c>
      <c r="J120" s="10">
        <f t="shared" si="6"/>
        <v>1514.0976091197711</v>
      </c>
      <c r="K120" s="15">
        <f t="shared" si="7"/>
        <v>60.790999999999997</v>
      </c>
    </row>
    <row r="121" spans="2:11">
      <c r="B121" s="12">
        <f t="shared" si="4"/>
        <v>45992</v>
      </c>
      <c r="C121" s="7">
        <v>46018</v>
      </c>
      <c r="D121" s="8">
        <v>7982</v>
      </c>
      <c r="E121" s="9">
        <v>9492.2690000000002</v>
      </c>
      <c r="F121" s="8">
        <v>9060</v>
      </c>
      <c r="G121" s="8">
        <v>10010</v>
      </c>
      <c r="H121" s="10">
        <f t="shared" si="5"/>
        <v>92167491.158000007</v>
      </c>
      <c r="I121" s="14">
        <f>VLOOKUP(C121,'Draw Data'!A:B,2,0)</f>
        <v>60354</v>
      </c>
      <c r="J121" s="10">
        <f t="shared" si="6"/>
        <v>1527.1148748715912</v>
      </c>
      <c r="K121" s="15">
        <f t="shared" si="7"/>
        <v>60.353999999999999</v>
      </c>
    </row>
    <row r="122" spans="2:11">
      <c r="B122" s="12">
        <f t="shared" si="4"/>
        <v>45992</v>
      </c>
      <c r="C122" s="7">
        <v>46019</v>
      </c>
      <c r="D122" s="8">
        <v>7978</v>
      </c>
      <c r="E122" s="9">
        <v>9526.6350000000002</v>
      </c>
      <c r="F122" s="8">
        <v>9150</v>
      </c>
      <c r="G122" s="8">
        <v>9250</v>
      </c>
      <c r="H122" s="10">
        <f t="shared" si="5"/>
        <v>91827494.030000001</v>
      </c>
      <c r="I122" s="14">
        <f>VLOOKUP(C122,'Draw Data'!A:B,2,0)</f>
        <v>59726</v>
      </c>
      <c r="J122" s="10">
        <f t="shared" si="6"/>
        <v>1537.4793897130228</v>
      </c>
      <c r="K122" s="15">
        <f t="shared" si="7"/>
        <v>59.725999999999999</v>
      </c>
    </row>
    <row r="123" spans="2:11">
      <c r="B123" s="12">
        <f t="shared" si="4"/>
        <v>45992</v>
      </c>
      <c r="C123" s="7">
        <v>46020</v>
      </c>
      <c r="D123" s="8">
        <v>7893</v>
      </c>
      <c r="E123" s="9">
        <v>9440.6419999999998</v>
      </c>
      <c r="F123" s="8">
        <v>9180</v>
      </c>
      <c r="G123" s="8">
        <v>11000</v>
      </c>
      <c r="H123" s="10">
        <f t="shared" si="5"/>
        <v>91869787.305999994</v>
      </c>
      <c r="I123" s="14">
        <f>VLOOKUP(C123,'Draw Data'!A:B,2,0)</f>
        <v>60969</v>
      </c>
      <c r="J123" s="10">
        <f t="shared" si="6"/>
        <v>1506.8278519575522</v>
      </c>
      <c r="K123" s="15">
        <f t="shared" si="7"/>
        <v>60.969000000000001</v>
      </c>
    </row>
    <row r="124" spans="2:11">
      <c r="B124" s="12">
        <f t="shared" si="4"/>
        <v>45992</v>
      </c>
      <c r="C124" s="7">
        <v>46021</v>
      </c>
      <c r="D124" s="8">
        <v>8071</v>
      </c>
      <c r="E124" s="9">
        <v>9251.6880000000001</v>
      </c>
      <c r="F124" s="8">
        <v>9170</v>
      </c>
      <c r="G124" s="8">
        <v>10370</v>
      </c>
      <c r="H124" s="10">
        <f t="shared" si="5"/>
        <v>91474773.848000005</v>
      </c>
      <c r="I124" s="14">
        <f>VLOOKUP(C124,'Draw Data'!A:B,2,0)</f>
        <v>61095</v>
      </c>
      <c r="J124" s="10">
        <f t="shared" si="6"/>
        <v>1497.2546664702513</v>
      </c>
      <c r="K124" s="15">
        <f t="shared" si="7"/>
        <v>61.094999999999999</v>
      </c>
    </row>
    <row r="125" spans="2:11">
      <c r="B125" s="12">
        <f t="shared" si="4"/>
        <v>45992</v>
      </c>
      <c r="C125" s="7">
        <v>46022</v>
      </c>
      <c r="D125" s="8">
        <v>8024</v>
      </c>
      <c r="E125" s="9">
        <v>9370.43</v>
      </c>
      <c r="F125" s="8">
        <v>9120</v>
      </c>
      <c r="G125" s="8">
        <v>10690</v>
      </c>
      <c r="H125" s="10">
        <f t="shared" si="5"/>
        <v>92224930.320000008</v>
      </c>
      <c r="I125" s="14">
        <f>VLOOKUP(C125,'Draw Data'!A:B,2,0)</f>
        <v>61737</v>
      </c>
      <c r="J125" s="10">
        <f t="shared" si="6"/>
        <v>1493.8356304971089</v>
      </c>
      <c r="K125" s="15">
        <f t="shared" si="7"/>
        <v>61.737000000000002</v>
      </c>
    </row>
    <row r="126" spans="2:11">
      <c r="B126" s="12">
        <f t="shared" si="4"/>
        <v>46023</v>
      </c>
      <c r="C126" s="7">
        <v>46023</v>
      </c>
      <c r="D126" s="8">
        <v>7957</v>
      </c>
      <c r="E126" s="9">
        <v>9287.2610000000004</v>
      </c>
      <c r="F126" s="8">
        <v>8810</v>
      </c>
      <c r="G126" s="8">
        <v>10740</v>
      </c>
      <c r="H126" s="10">
        <f t="shared" si="5"/>
        <v>90711735.77700001</v>
      </c>
      <c r="I126" s="14">
        <f>VLOOKUP(C126,'Draw Data'!A:B,2,0)</f>
        <v>59521</v>
      </c>
      <c r="J126" s="10">
        <f t="shared" si="6"/>
        <v>1524.0290952268949</v>
      </c>
      <c r="K126" s="15">
        <f t="shared" si="7"/>
        <v>59.521000000000001</v>
      </c>
    </row>
    <row r="127" spans="2:11">
      <c r="B127" s="12">
        <f t="shared" si="4"/>
        <v>46023</v>
      </c>
      <c r="C127" s="7">
        <v>46024</v>
      </c>
      <c r="D127" s="8">
        <v>8130</v>
      </c>
      <c r="E127" s="9">
        <v>9243.625</v>
      </c>
      <c r="F127" s="8">
        <v>9120</v>
      </c>
      <c r="G127" s="8">
        <v>10300</v>
      </c>
      <c r="H127" s="10">
        <f t="shared" si="5"/>
        <v>91851871.25</v>
      </c>
      <c r="I127" s="14">
        <f>VLOOKUP(C127,'Draw Data'!A:B,2,0)</f>
        <v>60546</v>
      </c>
      <c r="J127" s="10">
        <f t="shared" si="6"/>
        <v>1517.0592813728406</v>
      </c>
      <c r="K127" s="15">
        <f t="shared" si="7"/>
        <v>60.545999999999999</v>
      </c>
    </row>
    <row r="128" spans="2:11">
      <c r="B128" s="12">
        <f t="shared" si="4"/>
        <v>46023</v>
      </c>
      <c r="C128" s="7">
        <v>46025</v>
      </c>
      <c r="D128" s="8">
        <v>7903</v>
      </c>
      <c r="E128" s="9">
        <v>9379.9110000000001</v>
      </c>
      <c r="F128" s="8">
        <v>9180</v>
      </c>
      <c r="G128" s="8">
        <v>8970</v>
      </c>
      <c r="H128" s="10">
        <f t="shared" si="5"/>
        <v>89738436.633000001</v>
      </c>
      <c r="I128" s="14">
        <f>VLOOKUP(C128,'Draw Data'!A:B,2,0)</f>
        <v>57178</v>
      </c>
      <c r="J128" s="10">
        <f t="shared" si="6"/>
        <v>1569.4574247612718</v>
      </c>
      <c r="K128" s="15">
        <f t="shared" si="7"/>
        <v>57.177999999999997</v>
      </c>
    </row>
    <row r="129" spans="2:11">
      <c r="B129" s="12">
        <f t="shared" si="4"/>
        <v>46023</v>
      </c>
      <c r="C129" s="7">
        <v>46026</v>
      </c>
      <c r="D129" s="8">
        <v>7870</v>
      </c>
      <c r="E129" s="9">
        <v>9366.64</v>
      </c>
      <c r="F129" s="8">
        <v>7480</v>
      </c>
      <c r="G129" s="8">
        <v>7820</v>
      </c>
      <c r="H129" s="10">
        <f t="shared" si="5"/>
        <v>86873456.799999997</v>
      </c>
      <c r="I129" s="14">
        <f>VLOOKUP(C129,'Draw Data'!A:B,2,0)</f>
        <v>52858</v>
      </c>
      <c r="J129" s="10">
        <f t="shared" si="6"/>
        <v>1643.5252336448598</v>
      </c>
      <c r="K129" s="15">
        <f t="shared" si="7"/>
        <v>52.857999999999997</v>
      </c>
    </row>
    <row r="130" spans="2:11">
      <c r="B130" s="12">
        <f t="shared" si="4"/>
        <v>46023</v>
      </c>
      <c r="C130" s="7">
        <v>46027</v>
      </c>
      <c r="D130" s="8">
        <v>7868</v>
      </c>
      <c r="E130" s="9">
        <v>9333.08</v>
      </c>
      <c r="F130" s="8">
        <v>7440</v>
      </c>
      <c r="G130" s="8">
        <v>8290</v>
      </c>
      <c r="H130" s="10">
        <f t="shared" si="5"/>
        <v>86960473.439999998</v>
      </c>
      <c r="I130" s="14">
        <f>VLOOKUP(C130,'Draw Data'!A:B,2,0)</f>
        <v>51573</v>
      </c>
      <c r="J130" s="10">
        <f t="shared" si="6"/>
        <v>1686.1627875050899</v>
      </c>
      <c r="K130" s="15">
        <f t="shared" si="7"/>
        <v>51.573</v>
      </c>
    </row>
    <row r="131" spans="2:11">
      <c r="B131" s="12">
        <f t="shared" si="4"/>
        <v>46023</v>
      </c>
      <c r="C131" s="7">
        <v>46028</v>
      </c>
      <c r="D131" s="8">
        <v>7898</v>
      </c>
      <c r="E131" s="9">
        <v>9285.7639999999992</v>
      </c>
      <c r="F131" s="8">
        <v>6880</v>
      </c>
      <c r="G131" s="8">
        <v>7920</v>
      </c>
      <c r="H131" s="10">
        <f t="shared" si="5"/>
        <v>86066964.071999997</v>
      </c>
      <c r="I131" s="14">
        <f>VLOOKUP(C131,'Draw Data'!A:B,2,0)</f>
        <v>48951</v>
      </c>
      <c r="J131" s="10">
        <f t="shared" si="6"/>
        <v>1758.2268814120241</v>
      </c>
      <c r="K131" s="15">
        <f t="shared" si="7"/>
        <v>48.951000000000001</v>
      </c>
    </row>
    <row r="132" spans="2:11">
      <c r="B132" s="12">
        <f t="shared" si="4"/>
        <v>46023</v>
      </c>
      <c r="C132" s="7">
        <v>46029</v>
      </c>
      <c r="D132" s="8">
        <v>7962</v>
      </c>
      <c r="E132" s="9">
        <v>9358.8040000000001</v>
      </c>
      <c r="F132" s="8">
        <v>8860</v>
      </c>
      <c r="G132" s="8">
        <v>8537</v>
      </c>
      <c r="H132" s="10">
        <f t="shared" si="5"/>
        <v>89476217.447999999</v>
      </c>
      <c r="I132" s="14">
        <f>VLOOKUP(C132,'Draw Data'!A:B,2,0)</f>
        <v>59010</v>
      </c>
      <c r="J132" s="10">
        <f t="shared" si="6"/>
        <v>1516.2890602948653</v>
      </c>
      <c r="K132" s="15">
        <f t="shared" si="7"/>
        <v>59.01</v>
      </c>
    </row>
    <row r="133" spans="2:11">
      <c r="B133" s="12">
        <f t="shared" ref="B133:B196" si="8">DATE(YEAR(C133),MONTH(C133),1)</f>
        <v>46023</v>
      </c>
      <c r="C133" s="7">
        <v>46030</v>
      </c>
      <c r="D133" s="8">
        <v>7665</v>
      </c>
      <c r="E133" s="9">
        <v>9798.6290000000008</v>
      </c>
      <c r="F133" s="8">
        <v>9160</v>
      </c>
      <c r="G133" s="8">
        <v>10364</v>
      </c>
      <c r="H133" s="10">
        <f t="shared" ref="H133:H196" si="9">((D133 *(E133))+ ((F133+G133)*860))</f>
        <v>91897131.285000011</v>
      </c>
      <c r="I133" s="14">
        <f>VLOOKUP(C133,'Draw Data'!A:B,2,0)</f>
        <v>60659</v>
      </c>
      <c r="J133" s="10">
        <f t="shared" ref="J133:J196" si="10">H133/I133</f>
        <v>1514.9793317562112</v>
      </c>
      <c r="K133" s="15">
        <f t="shared" ref="K133:K196" si="11">I133/1000</f>
        <v>60.658999999999999</v>
      </c>
    </row>
    <row r="134" spans="2:11">
      <c r="B134" s="12">
        <f t="shared" si="8"/>
        <v>46023</v>
      </c>
      <c r="C134" s="7">
        <v>46031</v>
      </c>
      <c r="D134" s="8">
        <v>7289</v>
      </c>
      <c r="E134" s="9">
        <v>9998.3760000000002</v>
      </c>
      <c r="F134" s="8">
        <v>9190</v>
      </c>
      <c r="G134" s="8">
        <v>10860</v>
      </c>
      <c r="H134" s="10">
        <f t="shared" si="9"/>
        <v>90121162.664000005</v>
      </c>
      <c r="I134" s="14">
        <f>VLOOKUP(C134,'Draw Data'!A:B,2,0)</f>
        <v>60929</v>
      </c>
      <c r="J134" s="10">
        <f t="shared" si="10"/>
        <v>1479.1177052635035</v>
      </c>
      <c r="K134" s="15">
        <f t="shared" si="11"/>
        <v>60.929000000000002</v>
      </c>
    </row>
    <row r="135" spans="2:11">
      <c r="B135" s="12">
        <f t="shared" si="8"/>
        <v>46023</v>
      </c>
      <c r="C135" s="7">
        <v>46032</v>
      </c>
      <c r="D135" s="8">
        <v>7637</v>
      </c>
      <c r="E135" s="9">
        <v>9997.4120000000003</v>
      </c>
      <c r="F135" s="8">
        <v>9290</v>
      </c>
      <c r="G135" s="8">
        <v>10000</v>
      </c>
      <c r="H135" s="10">
        <f t="shared" si="9"/>
        <v>92939635.444000006</v>
      </c>
      <c r="I135" s="14">
        <f>VLOOKUP(C135,'Draw Data'!A:B,2,0)</f>
        <v>60801</v>
      </c>
      <c r="J135" s="10">
        <f t="shared" si="10"/>
        <v>1528.5872838275686</v>
      </c>
      <c r="K135" s="15">
        <f t="shared" si="11"/>
        <v>60.801000000000002</v>
      </c>
    </row>
    <row r="136" spans="2:11">
      <c r="B136" s="12">
        <f t="shared" si="8"/>
        <v>46023</v>
      </c>
      <c r="C136" s="7">
        <v>46033</v>
      </c>
      <c r="D136" s="8">
        <v>7424</v>
      </c>
      <c r="E136" s="9">
        <v>10069.776</v>
      </c>
      <c r="F136" s="8">
        <v>8990</v>
      </c>
      <c r="G136" s="8">
        <v>8120</v>
      </c>
      <c r="H136" s="10">
        <f t="shared" si="9"/>
        <v>89472617.024000004</v>
      </c>
      <c r="I136" s="14">
        <f>VLOOKUP(C136,'Draw Data'!A:B,2,0)</f>
        <v>57563</v>
      </c>
      <c r="J136" s="10">
        <f t="shared" si="10"/>
        <v>1554.3424947275159</v>
      </c>
      <c r="K136" s="15">
        <f t="shared" si="11"/>
        <v>57.563000000000002</v>
      </c>
    </row>
    <row r="137" spans="2:11">
      <c r="B137" s="12">
        <f t="shared" si="8"/>
        <v>46023</v>
      </c>
      <c r="C137" s="7">
        <v>46034</v>
      </c>
      <c r="D137" s="8">
        <v>7435</v>
      </c>
      <c r="E137" s="9">
        <v>10120.662</v>
      </c>
      <c r="F137" s="8">
        <v>9270</v>
      </c>
      <c r="G137" s="8">
        <v>8280</v>
      </c>
      <c r="H137" s="10">
        <f t="shared" si="9"/>
        <v>90340121.969999999</v>
      </c>
      <c r="I137" s="14">
        <f>VLOOKUP(C137,'Draw Data'!A:B,2,0)</f>
        <v>58106</v>
      </c>
      <c r="J137" s="10">
        <f t="shared" si="10"/>
        <v>1554.7468758820087</v>
      </c>
      <c r="K137" s="15">
        <f t="shared" si="11"/>
        <v>58.106000000000002</v>
      </c>
    </row>
    <row r="138" spans="2:11">
      <c r="B138" s="12">
        <f t="shared" si="8"/>
        <v>46023</v>
      </c>
      <c r="C138" s="7">
        <v>46035</v>
      </c>
      <c r="D138" s="8">
        <v>7342</v>
      </c>
      <c r="E138" s="9">
        <v>10262.578</v>
      </c>
      <c r="F138" s="8">
        <v>9190</v>
      </c>
      <c r="G138" s="8">
        <v>8820</v>
      </c>
      <c r="H138" s="10">
        <f t="shared" si="9"/>
        <v>90836447.675999999</v>
      </c>
      <c r="I138" s="14">
        <f>VLOOKUP(C138,'Draw Data'!A:B,2,0)</f>
        <v>59597</v>
      </c>
      <c r="J138" s="10">
        <f t="shared" si="10"/>
        <v>1524.1781914525898</v>
      </c>
      <c r="K138" s="15">
        <f t="shared" si="11"/>
        <v>59.597000000000001</v>
      </c>
    </row>
    <row r="139" spans="2:11">
      <c r="B139" s="12">
        <f t="shared" si="8"/>
        <v>46023</v>
      </c>
      <c r="C139" s="7">
        <v>46036</v>
      </c>
      <c r="D139" s="8">
        <v>7437</v>
      </c>
      <c r="E139" s="9">
        <v>10188.973</v>
      </c>
      <c r="F139" s="8">
        <v>9140</v>
      </c>
      <c r="G139" s="8">
        <v>8120</v>
      </c>
      <c r="H139" s="10">
        <f t="shared" si="9"/>
        <v>90618992.201000005</v>
      </c>
      <c r="I139" s="14">
        <f>VLOOKUP(C139,'Draw Data'!A:B,2,0)</f>
        <v>58764</v>
      </c>
      <c r="J139" s="10">
        <f t="shared" si="10"/>
        <v>1542.083455874345</v>
      </c>
      <c r="K139" s="15">
        <f t="shared" si="11"/>
        <v>58.764000000000003</v>
      </c>
    </row>
    <row r="140" spans="2:11">
      <c r="B140" s="12">
        <f t="shared" si="8"/>
        <v>46023</v>
      </c>
      <c r="C140" s="7">
        <v>46037</v>
      </c>
      <c r="D140" s="8">
        <v>7348</v>
      </c>
      <c r="E140" s="9">
        <v>10221.734</v>
      </c>
      <c r="F140" s="8">
        <v>9160</v>
      </c>
      <c r="G140" s="8">
        <v>9280</v>
      </c>
      <c r="H140" s="10">
        <f t="shared" si="9"/>
        <v>90967701.431999996</v>
      </c>
      <c r="I140" s="14">
        <f>VLOOKUP(C140,'Draw Data'!A:B,2,0)</f>
        <v>58803</v>
      </c>
      <c r="J140" s="10">
        <f t="shared" si="10"/>
        <v>1546.9908241416254</v>
      </c>
      <c r="K140" s="15">
        <f t="shared" si="11"/>
        <v>58.802999999999997</v>
      </c>
    </row>
    <row r="141" spans="2:11">
      <c r="B141" s="12">
        <f t="shared" si="8"/>
        <v>46023</v>
      </c>
      <c r="C141" s="7">
        <v>46038</v>
      </c>
      <c r="D141" s="8">
        <v>7388</v>
      </c>
      <c r="E141" s="9">
        <v>10241.876</v>
      </c>
      <c r="F141" s="8">
        <v>9200</v>
      </c>
      <c r="G141" s="8">
        <v>8730</v>
      </c>
      <c r="H141" s="10">
        <f t="shared" si="9"/>
        <v>91086779.887999997</v>
      </c>
      <c r="I141" s="14">
        <f>VLOOKUP(C141,'Draw Data'!A:B,2,0)</f>
        <v>58443</v>
      </c>
      <c r="J141" s="10">
        <f t="shared" si="10"/>
        <v>1558.557566996903</v>
      </c>
      <c r="K141" s="15">
        <f t="shared" si="11"/>
        <v>58.442999999999998</v>
      </c>
    </row>
    <row r="142" spans="2:11">
      <c r="B142" s="12">
        <f t="shared" si="8"/>
        <v>46023</v>
      </c>
      <c r="C142" s="7">
        <v>46039</v>
      </c>
      <c r="D142" s="8">
        <v>7348</v>
      </c>
      <c r="E142" s="9">
        <v>10201.896000000001</v>
      </c>
      <c r="F142" s="8">
        <v>9210</v>
      </c>
      <c r="G142" s="8">
        <v>8000</v>
      </c>
      <c r="H142" s="10">
        <f t="shared" si="9"/>
        <v>89764131.807999998</v>
      </c>
      <c r="I142" s="14">
        <f>VLOOKUP(C142,'Draw Data'!A:B,2,0)</f>
        <v>57641</v>
      </c>
      <c r="J142" s="10">
        <f t="shared" si="10"/>
        <v>1557.2965737582624</v>
      </c>
      <c r="K142" s="15">
        <f t="shared" si="11"/>
        <v>57.640999999999998</v>
      </c>
    </row>
    <row r="143" spans="2:11">
      <c r="B143" s="12">
        <f t="shared" si="8"/>
        <v>46023</v>
      </c>
      <c r="C143" s="7">
        <v>46040</v>
      </c>
      <c r="D143" s="8">
        <v>7431</v>
      </c>
      <c r="E143" s="9">
        <v>10140.983</v>
      </c>
      <c r="F143" s="8">
        <v>9110</v>
      </c>
      <c r="G143" s="8">
        <v>9310</v>
      </c>
      <c r="H143" s="10">
        <f t="shared" si="9"/>
        <v>91198844.673000008</v>
      </c>
      <c r="I143" s="14">
        <f>VLOOKUP(C143,'Draw Data'!A:B,2,0)</f>
        <v>59152</v>
      </c>
      <c r="J143" s="10">
        <f t="shared" si="10"/>
        <v>1541.7711095651882</v>
      </c>
      <c r="K143" s="15">
        <f t="shared" si="11"/>
        <v>59.152000000000001</v>
      </c>
    </row>
    <row r="144" spans="2:11">
      <c r="B144" s="12">
        <f t="shared" si="8"/>
        <v>46023</v>
      </c>
      <c r="C144" s="7">
        <v>46041</v>
      </c>
      <c r="D144" s="8">
        <v>7450</v>
      </c>
      <c r="E144" s="9">
        <v>10196.429</v>
      </c>
      <c r="F144" s="8">
        <v>9180</v>
      </c>
      <c r="G144" s="8">
        <v>8060</v>
      </c>
      <c r="H144" s="10">
        <f t="shared" si="9"/>
        <v>90789796.049999997</v>
      </c>
      <c r="I144" s="14">
        <f>VLOOKUP(C144,'Draw Data'!A:B,2,0)</f>
        <v>58359</v>
      </c>
      <c r="J144" s="10">
        <f t="shared" si="10"/>
        <v>1555.7119904384926</v>
      </c>
      <c r="K144" s="15">
        <f t="shared" si="11"/>
        <v>58.359000000000002</v>
      </c>
    </row>
    <row r="145" spans="2:11">
      <c r="B145" s="12">
        <f t="shared" si="8"/>
        <v>46023</v>
      </c>
      <c r="C145" s="7">
        <v>46042</v>
      </c>
      <c r="D145" s="8">
        <v>7415</v>
      </c>
      <c r="E145" s="9">
        <v>10193.288</v>
      </c>
      <c r="F145" s="8">
        <v>9170</v>
      </c>
      <c r="G145" s="8">
        <v>8990</v>
      </c>
      <c r="H145" s="10">
        <f t="shared" si="9"/>
        <v>91200830.520000011</v>
      </c>
      <c r="I145" s="14">
        <f>VLOOKUP(C145,'Draw Data'!A:B,2,0)</f>
        <v>59902</v>
      </c>
      <c r="J145" s="10">
        <f t="shared" si="10"/>
        <v>1522.5005929685153</v>
      </c>
      <c r="K145" s="15">
        <f t="shared" si="11"/>
        <v>59.902000000000001</v>
      </c>
    </row>
    <row r="146" spans="2:11">
      <c r="B146" s="12">
        <f t="shared" si="8"/>
        <v>46023</v>
      </c>
      <c r="C146" s="7">
        <v>46043</v>
      </c>
      <c r="D146" s="8">
        <v>7837</v>
      </c>
      <c r="E146" s="9">
        <v>9597.1779999999999</v>
      </c>
      <c r="F146" s="8">
        <v>9080</v>
      </c>
      <c r="G146" s="8">
        <v>9420</v>
      </c>
      <c r="H146" s="10">
        <f t="shared" si="9"/>
        <v>91123083.986000001</v>
      </c>
      <c r="I146" s="14">
        <f>VLOOKUP(C146,'Draw Data'!A:B,2,0)</f>
        <v>59375</v>
      </c>
      <c r="J146" s="10">
        <f t="shared" si="10"/>
        <v>1534.7045723957895</v>
      </c>
      <c r="K146" s="15">
        <f t="shared" si="11"/>
        <v>59.375</v>
      </c>
    </row>
    <row r="147" spans="2:11">
      <c r="B147" s="12">
        <f t="shared" si="8"/>
        <v>46023</v>
      </c>
      <c r="C147" s="7">
        <v>46044</v>
      </c>
      <c r="D147" s="8">
        <v>7643</v>
      </c>
      <c r="E147" s="9">
        <v>10138.734</v>
      </c>
      <c r="F147" s="8">
        <v>9240</v>
      </c>
      <c r="G147" s="8">
        <v>8330</v>
      </c>
      <c r="H147" s="10">
        <f t="shared" si="9"/>
        <v>92600543.961999997</v>
      </c>
      <c r="I147" s="14">
        <f>VLOOKUP(C147,'Draw Data'!A:B,2,0)</f>
        <v>60262</v>
      </c>
      <c r="J147" s="10">
        <f t="shared" si="10"/>
        <v>1536.6324377219476</v>
      </c>
      <c r="K147" s="15">
        <f t="shared" si="11"/>
        <v>60.262</v>
      </c>
    </row>
    <row r="148" spans="2:11">
      <c r="B148" s="12">
        <f t="shared" si="8"/>
        <v>46023</v>
      </c>
      <c r="C148" s="7">
        <v>46045</v>
      </c>
      <c r="D148" s="8">
        <v>7400</v>
      </c>
      <c r="E148" s="9">
        <v>10180.716</v>
      </c>
      <c r="F148" s="8">
        <v>7900</v>
      </c>
      <c r="G148" s="8">
        <v>10690</v>
      </c>
      <c r="H148" s="10">
        <f t="shared" si="9"/>
        <v>91324698.400000006</v>
      </c>
      <c r="I148" s="14">
        <f>VLOOKUP(C148,'Draw Data'!A:B,2,0)</f>
        <v>60785</v>
      </c>
      <c r="J148" s="10">
        <f t="shared" si="10"/>
        <v>1502.421623755861</v>
      </c>
      <c r="K148" s="15">
        <f t="shared" si="11"/>
        <v>60.784999999999997</v>
      </c>
    </row>
    <row r="149" spans="2:11">
      <c r="B149" s="12">
        <f t="shared" si="8"/>
        <v>46023</v>
      </c>
      <c r="C149" s="7">
        <v>46046</v>
      </c>
      <c r="D149" s="8">
        <v>7431</v>
      </c>
      <c r="E149" s="9">
        <v>10156.084999999999</v>
      </c>
      <c r="F149" s="8">
        <v>7340</v>
      </c>
      <c r="G149" s="8">
        <v>12220</v>
      </c>
      <c r="H149" s="10">
        <f t="shared" si="9"/>
        <v>92291467.63499999</v>
      </c>
      <c r="I149" s="14">
        <f>VLOOKUP(C149,'Draw Data'!A:B,2,0)</f>
        <v>61513</v>
      </c>
      <c r="J149" s="10">
        <f t="shared" si="10"/>
        <v>1500.3571218279062</v>
      </c>
      <c r="K149" s="15">
        <f t="shared" si="11"/>
        <v>61.512999999999998</v>
      </c>
    </row>
    <row r="150" spans="2:11">
      <c r="B150" s="12">
        <f t="shared" si="8"/>
        <v>46023</v>
      </c>
      <c r="C150" s="7">
        <v>46047</v>
      </c>
      <c r="D150" s="8">
        <v>7623</v>
      </c>
      <c r="E150" s="9">
        <v>10116.672</v>
      </c>
      <c r="F150" s="8">
        <v>7410</v>
      </c>
      <c r="G150" s="8">
        <v>11590</v>
      </c>
      <c r="H150" s="10">
        <f t="shared" si="9"/>
        <v>93459390.656000003</v>
      </c>
      <c r="I150" s="14">
        <f>VLOOKUP(C150,'Draw Data'!A:B,2,0)</f>
        <v>61984</v>
      </c>
      <c r="J150" s="10">
        <f t="shared" si="10"/>
        <v>1507.7986360351058</v>
      </c>
      <c r="K150" s="15">
        <f t="shared" si="11"/>
        <v>61.984000000000002</v>
      </c>
    </row>
    <row r="151" spans="2:11">
      <c r="B151" s="12">
        <f t="shared" si="8"/>
        <v>46023</v>
      </c>
      <c r="C151" s="7">
        <v>46048</v>
      </c>
      <c r="D151" s="8">
        <v>7660</v>
      </c>
      <c r="E151" s="9">
        <v>10149.378000000001</v>
      </c>
      <c r="F151" s="8">
        <v>7270</v>
      </c>
      <c r="G151" s="8">
        <v>10040</v>
      </c>
      <c r="H151" s="10">
        <f t="shared" si="9"/>
        <v>92630835.480000004</v>
      </c>
      <c r="I151" s="14">
        <f>VLOOKUP(C151,'Draw Data'!A:B,2,0)</f>
        <v>59239</v>
      </c>
      <c r="J151" s="10">
        <f t="shared" si="10"/>
        <v>1563.6799318016847</v>
      </c>
      <c r="K151" s="15">
        <f t="shared" si="11"/>
        <v>59.238999999999997</v>
      </c>
    </row>
    <row r="152" spans="2:11">
      <c r="B152" s="12">
        <f t="shared" si="8"/>
        <v>46023</v>
      </c>
      <c r="C152" s="7">
        <v>46049</v>
      </c>
      <c r="D152" s="8">
        <v>7506</v>
      </c>
      <c r="E152" s="9">
        <v>10140.414000000001</v>
      </c>
      <c r="F152" s="8">
        <v>7330</v>
      </c>
      <c r="G152" s="8">
        <v>10630</v>
      </c>
      <c r="H152" s="10">
        <f t="shared" si="9"/>
        <v>91559547.484000012</v>
      </c>
      <c r="I152" s="14">
        <f>VLOOKUP(C152,'Draw Data'!A:B,2,0)</f>
        <v>58261</v>
      </c>
      <c r="J152" s="10">
        <f t="shared" si="10"/>
        <v>1571.54095336503</v>
      </c>
      <c r="K152" s="15">
        <f t="shared" si="11"/>
        <v>58.261000000000003</v>
      </c>
    </row>
    <row r="153" spans="2:11">
      <c r="B153" s="12">
        <f t="shared" si="8"/>
        <v>46023</v>
      </c>
      <c r="C153" s="7">
        <v>46050</v>
      </c>
      <c r="D153" s="8">
        <v>8216</v>
      </c>
      <c r="E153" s="9">
        <v>9329.9380000000001</v>
      </c>
      <c r="F153" s="8">
        <v>7370</v>
      </c>
      <c r="G153" s="8">
        <v>10070</v>
      </c>
      <c r="H153" s="10">
        <f t="shared" si="9"/>
        <v>91653170.607999995</v>
      </c>
      <c r="I153" s="14">
        <f>VLOOKUP(C153,'Draw Data'!A:B,2,0)</f>
        <v>59417</v>
      </c>
      <c r="J153" s="10">
        <f t="shared" si="10"/>
        <v>1542.5412021475336</v>
      </c>
      <c r="K153" s="15">
        <f t="shared" si="11"/>
        <v>59.417000000000002</v>
      </c>
    </row>
    <row r="154" spans="2:11">
      <c r="B154" s="12">
        <f t="shared" si="8"/>
        <v>46023</v>
      </c>
      <c r="C154" s="7">
        <v>46051</v>
      </c>
      <c r="D154" s="8">
        <v>8059</v>
      </c>
      <c r="E154" s="9">
        <v>9812.9030000000002</v>
      </c>
      <c r="F154" s="8">
        <v>7330</v>
      </c>
      <c r="G154" s="8">
        <v>7800</v>
      </c>
      <c r="H154" s="10">
        <f t="shared" si="9"/>
        <v>92093985.276999995</v>
      </c>
      <c r="I154" s="14">
        <f>VLOOKUP(C154,'Draw Data'!A:B,2,0)</f>
        <v>55853</v>
      </c>
      <c r="J154" s="10">
        <f t="shared" si="10"/>
        <v>1648.8637186364206</v>
      </c>
      <c r="K154" s="15">
        <f t="shared" si="11"/>
        <v>55.853000000000002</v>
      </c>
    </row>
    <row r="155" spans="2:11">
      <c r="B155" s="12">
        <f t="shared" si="8"/>
        <v>46023</v>
      </c>
      <c r="C155" s="7">
        <v>46052</v>
      </c>
      <c r="D155" s="8">
        <v>7515</v>
      </c>
      <c r="E155" s="9">
        <v>10126.937</v>
      </c>
      <c r="F155" s="8">
        <v>7330</v>
      </c>
      <c r="G155" s="8">
        <v>6080</v>
      </c>
      <c r="H155" s="10">
        <f t="shared" si="9"/>
        <v>87636531.554999992</v>
      </c>
      <c r="I155" s="14">
        <f>VLOOKUP(C155,'Draw Data'!A:B,2,0)</f>
        <v>53084</v>
      </c>
      <c r="J155" s="10">
        <f t="shared" si="10"/>
        <v>1650.9029378908897</v>
      </c>
      <c r="K155" s="15">
        <f t="shared" si="11"/>
        <v>53.084000000000003</v>
      </c>
    </row>
    <row r="156" spans="2:11">
      <c r="B156" s="12">
        <f t="shared" si="8"/>
        <v>46023</v>
      </c>
      <c r="C156" s="7">
        <v>46053</v>
      </c>
      <c r="D156" s="8">
        <v>7310</v>
      </c>
      <c r="E156" s="9">
        <v>10287.147000000001</v>
      </c>
      <c r="F156" s="8">
        <v>7350</v>
      </c>
      <c r="G156" s="8">
        <v>6750</v>
      </c>
      <c r="H156" s="10">
        <f t="shared" si="9"/>
        <v>87325044.570000008</v>
      </c>
      <c r="I156" s="14">
        <f>VLOOKUP(C156,'Draw Data'!A:B,2,0)</f>
        <v>53421</v>
      </c>
      <c r="J156" s="10">
        <f t="shared" si="10"/>
        <v>1634.6576172291798</v>
      </c>
      <c r="K156" s="15">
        <f t="shared" si="11"/>
        <v>53.420999999999999</v>
      </c>
    </row>
    <row r="157" spans="2:11">
      <c r="B157" s="12">
        <f t="shared" si="8"/>
        <v>46054</v>
      </c>
      <c r="C157" s="7">
        <v>46054</v>
      </c>
      <c r="D157" s="8">
        <v>7338</v>
      </c>
      <c r="E157" s="9">
        <v>10263.175999999999</v>
      </c>
      <c r="F157" s="8">
        <v>7320</v>
      </c>
      <c r="G157" s="8">
        <v>6950</v>
      </c>
      <c r="H157" s="10">
        <f t="shared" si="9"/>
        <v>87583385.487999991</v>
      </c>
      <c r="I157" s="14">
        <f>VLOOKUP(C157,'Draw Data'!A:B,2,0)</f>
        <v>51275</v>
      </c>
      <c r="J157" s="10">
        <f t="shared" si="10"/>
        <v>1708.110882262311</v>
      </c>
      <c r="K157" s="15">
        <f t="shared" si="11"/>
        <v>51.274999999999999</v>
      </c>
    </row>
    <row r="158" spans="2:11">
      <c r="B158" s="12">
        <f t="shared" si="8"/>
        <v>46054</v>
      </c>
      <c r="C158" s="7">
        <v>46055</v>
      </c>
      <c r="D158" s="8">
        <v>7282</v>
      </c>
      <c r="E158" s="9">
        <v>10274.387000000001</v>
      </c>
      <c r="F158" s="8">
        <v>7380</v>
      </c>
      <c r="G158" s="8">
        <v>6330</v>
      </c>
      <c r="H158" s="10">
        <f t="shared" si="9"/>
        <v>86608686.134000003</v>
      </c>
      <c r="I158" s="14">
        <f>VLOOKUP(C158,'Draw Data'!A:B,2,0)</f>
        <v>52460</v>
      </c>
      <c r="J158" s="10">
        <f t="shared" si="10"/>
        <v>1650.9471241707968</v>
      </c>
      <c r="K158" s="15">
        <f t="shared" si="11"/>
        <v>52.46</v>
      </c>
    </row>
    <row r="159" spans="2:11">
      <c r="B159" s="12">
        <f t="shared" si="8"/>
        <v>46054</v>
      </c>
      <c r="C159" s="7">
        <v>46056</v>
      </c>
      <c r="D159" s="8">
        <v>7179</v>
      </c>
      <c r="E159" s="9">
        <v>10245.061</v>
      </c>
      <c r="F159" s="8">
        <v>7360</v>
      </c>
      <c r="G159" s="8">
        <v>7170</v>
      </c>
      <c r="H159" s="10">
        <f t="shared" si="9"/>
        <v>86045092.919</v>
      </c>
      <c r="I159" s="14">
        <f>VLOOKUP(C159,'Draw Data'!A:B,2,0)</f>
        <v>51342</v>
      </c>
      <c r="J159" s="10">
        <f t="shared" si="10"/>
        <v>1675.9201612519964</v>
      </c>
      <c r="K159" s="15">
        <f t="shared" si="11"/>
        <v>51.341999999999999</v>
      </c>
    </row>
    <row r="160" spans="2:11">
      <c r="B160" s="12">
        <f t="shared" si="8"/>
        <v>46054</v>
      </c>
      <c r="C160" s="7">
        <v>46057</v>
      </c>
      <c r="D160" s="8">
        <v>7504</v>
      </c>
      <c r="E160" s="9">
        <v>9892.8150000000005</v>
      </c>
      <c r="F160" s="8">
        <v>7390</v>
      </c>
      <c r="G160" s="8">
        <v>6740</v>
      </c>
      <c r="H160" s="10">
        <f t="shared" si="9"/>
        <v>86387483.760000005</v>
      </c>
      <c r="I160" s="14">
        <f>VLOOKUP(C160,'Draw Data'!A:B,2,0)</f>
        <v>53057</v>
      </c>
      <c r="J160" s="10">
        <f t="shared" si="10"/>
        <v>1628.2014392068909</v>
      </c>
      <c r="K160" s="15">
        <f t="shared" si="11"/>
        <v>53.057000000000002</v>
      </c>
    </row>
    <row r="161" spans="2:11">
      <c r="B161" s="12">
        <f t="shared" si="8"/>
        <v>46054</v>
      </c>
      <c r="C161" s="7">
        <v>46058</v>
      </c>
      <c r="D161" s="8">
        <v>7834</v>
      </c>
      <c r="E161" s="9">
        <v>9930.0679999999993</v>
      </c>
      <c r="F161" s="8">
        <v>7200</v>
      </c>
      <c r="G161" s="8">
        <v>6340</v>
      </c>
      <c r="H161" s="10">
        <f t="shared" si="9"/>
        <v>89436552.711999997</v>
      </c>
      <c r="I161" s="14">
        <f>VLOOKUP(C161,'Draw Data'!A:B,2,0)</f>
        <v>54614</v>
      </c>
      <c r="J161" s="10">
        <f t="shared" si="10"/>
        <v>1637.6122003881787</v>
      </c>
      <c r="K161" s="15">
        <f t="shared" si="11"/>
        <v>54.613999999999997</v>
      </c>
    </row>
    <row r="162" spans="2:11">
      <c r="B162" s="12">
        <f t="shared" si="8"/>
        <v>46054</v>
      </c>
      <c r="C162" s="7">
        <v>46059</v>
      </c>
      <c r="D162" s="8">
        <v>7858</v>
      </c>
      <c r="E162" s="9">
        <v>9683.5509999999995</v>
      </c>
      <c r="F162" s="8">
        <v>7320</v>
      </c>
      <c r="G162" s="8">
        <v>8820</v>
      </c>
      <c r="H162" s="10">
        <f t="shared" si="9"/>
        <v>89973743.758000001</v>
      </c>
      <c r="I162" s="14">
        <f>VLOOKUP(C162,'Draw Data'!A:B,2,0)</f>
        <v>58152</v>
      </c>
      <c r="J162" s="10">
        <f t="shared" si="10"/>
        <v>1547.2166693836841</v>
      </c>
      <c r="K162" s="15">
        <f t="shared" si="11"/>
        <v>58.152000000000001</v>
      </c>
    </row>
    <row r="163" spans="2:11">
      <c r="B163" s="12">
        <f t="shared" si="8"/>
        <v>46054</v>
      </c>
      <c r="C163" s="7">
        <v>46060</v>
      </c>
      <c r="D163" s="8">
        <v>8165</v>
      </c>
      <c r="E163" s="9">
        <v>9313.5769999999993</v>
      </c>
      <c r="F163" s="8">
        <v>7360</v>
      </c>
      <c r="G163" s="8">
        <v>9450</v>
      </c>
      <c r="H163" s="10">
        <f t="shared" si="9"/>
        <v>90501956.204999998</v>
      </c>
      <c r="I163" s="14">
        <f>VLOOKUP(C163,'Draw Data'!A:B,2,0)</f>
        <v>57870</v>
      </c>
      <c r="J163" s="10">
        <f t="shared" si="10"/>
        <v>1563.8838120787973</v>
      </c>
      <c r="K163" s="15">
        <f t="shared" si="11"/>
        <v>57.87</v>
      </c>
    </row>
    <row r="164" spans="2:11">
      <c r="B164" s="12">
        <f t="shared" si="8"/>
        <v>46054</v>
      </c>
      <c r="C164" s="7">
        <v>46061</v>
      </c>
      <c r="D164" s="8">
        <v>8059</v>
      </c>
      <c r="E164" s="9">
        <v>9399.5750000000007</v>
      </c>
      <c r="F164" s="8">
        <v>7330</v>
      </c>
      <c r="G164" s="8">
        <v>11819</v>
      </c>
      <c r="H164" s="10">
        <f t="shared" si="9"/>
        <v>92219314.925000012</v>
      </c>
      <c r="I164" s="14">
        <f>VLOOKUP(C164,'Draw Data'!A:B,2,0)</f>
        <v>60404</v>
      </c>
      <c r="J164" s="10">
        <f t="shared" si="10"/>
        <v>1526.7087432123703</v>
      </c>
      <c r="K164" s="15">
        <f t="shared" si="11"/>
        <v>60.404000000000003</v>
      </c>
    </row>
    <row r="165" spans="2:11">
      <c r="B165" s="12">
        <f t="shared" si="8"/>
        <v>46054</v>
      </c>
      <c r="C165" s="7">
        <v>46062</v>
      </c>
      <c r="D165" s="8">
        <v>8058</v>
      </c>
      <c r="E165" s="9">
        <v>9423.9959999999992</v>
      </c>
      <c r="F165" s="8">
        <v>7450</v>
      </c>
      <c r="G165" s="8">
        <v>10824</v>
      </c>
      <c r="H165" s="10">
        <f t="shared" si="9"/>
        <v>91654199.767999992</v>
      </c>
      <c r="I165" s="14">
        <f>VLOOKUP(C165,'Draw Data'!A:B,2,0)</f>
        <v>59531</v>
      </c>
      <c r="J165" s="10">
        <f t="shared" si="10"/>
        <v>1539.604571870118</v>
      </c>
      <c r="K165" s="15">
        <f t="shared" si="11"/>
        <v>59.530999999999999</v>
      </c>
    </row>
    <row r="166" spans="2:11">
      <c r="B166" s="12">
        <f t="shared" si="8"/>
        <v>46054</v>
      </c>
      <c r="C166" s="7">
        <v>46063</v>
      </c>
      <c r="D166" s="8">
        <v>8112</v>
      </c>
      <c r="E166" s="9">
        <v>9409.1020000000008</v>
      </c>
      <c r="F166" s="8">
        <v>7230</v>
      </c>
      <c r="G166" s="8">
        <v>9857</v>
      </c>
      <c r="H166" s="10">
        <f t="shared" si="9"/>
        <v>91021455.42400001</v>
      </c>
      <c r="I166" s="14">
        <f>VLOOKUP(C166,'Draw Data'!A:B,2,0)</f>
        <v>58159</v>
      </c>
      <c r="J166" s="10">
        <f t="shared" si="10"/>
        <v>1565.0450562079818</v>
      </c>
      <c r="K166" s="15">
        <f t="shared" si="11"/>
        <v>58.158999999999999</v>
      </c>
    </row>
    <row r="167" spans="2:11">
      <c r="B167" s="12">
        <f t="shared" si="8"/>
        <v>46054</v>
      </c>
      <c r="C167" s="7">
        <v>46064</v>
      </c>
      <c r="D167" s="8">
        <v>8032</v>
      </c>
      <c r="E167" s="9">
        <v>9453.3799999999992</v>
      </c>
      <c r="F167" s="8">
        <v>7360</v>
      </c>
      <c r="G167" s="8">
        <v>8240</v>
      </c>
      <c r="H167" s="10">
        <f t="shared" si="9"/>
        <v>89345548.159999996</v>
      </c>
      <c r="I167" s="14">
        <f>VLOOKUP(C167,'Draw Data'!A:B,2,0)</f>
        <v>55917</v>
      </c>
      <c r="J167" s="10">
        <f t="shared" si="10"/>
        <v>1597.8244211957008</v>
      </c>
      <c r="K167" s="15">
        <f t="shared" si="11"/>
        <v>55.917000000000002</v>
      </c>
    </row>
    <row r="168" spans="2:11">
      <c r="B168" s="12">
        <f t="shared" si="8"/>
        <v>46054</v>
      </c>
      <c r="C168" s="7">
        <v>46065</v>
      </c>
      <c r="D168" s="8">
        <v>7930</v>
      </c>
      <c r="E168" s="9">
        <v>9631.0419999999995</v>
      </c>
      <c r="F168" s="8">
        <v>7330</v>
      </c>
      <c r="G168" s="8">
        <v>8860</v>
      </c>
      <c r="H168" s="10">
        <f t="shared" si="9"/>
        <v>90297563.060000002</v>
      </c>
      <c r="I168" s="14">
        <f>VLOOKUP(C168,'Draw Data'!A:B,2,0)</f>
        <v>56153</v>
      </c>
      <c r="J168" s="10">
        <f t="shared" si="10"/>
        <v>1608.0630253058607</v>
      </c>
      <c r="K168" s="15">
        <f t="shared" si="11"/>
        <v>56.152999999999999</v>
      </c>
    </row>
    <row r="169" spans="2:11">
      <c r="B169" s="12">
        <f t="shared" si="8"/>
        <v>46054</v>
      </c>
      <c r="C169" s="7">
        <v>46066</v>
      </c>
      <c r="D169" s="8">
        <v>7883</v>
      </c>
      <c r="E169" s="9">
        <v>9679.19</v>
      </c>
      <c r="F169" s="8">
        <v>7250</v>
      </c>
      <c r="G169" s="8">
        <v>5260</v>
      </c>
      <c r="H169" s="10">
        <f t="shared" si="9"/>
        <v>87059654.770000011</v>
      </c>
      <c r="I169" s="14">
        <f>VLOOKUP(C169,'Draw Data'!A:B,2,0)</f>
        <v>51952</v>
      </c>
      <c r="J169" s="10">
        <f t="shared" si="10"/>
        <v>1675.770995726825</v>
      </c>
      <c r="K169" s="15">
        <f t="shared" si="11"/>
        <v>51.951999999999998</v>
      </c>
    </row>
    <row r="170" spans="2:11">
      <c r="B170" s="12">
        <f t="shared" si="8"/>
        <v>46054</v>
      </c>
      <c r="C170" s="7">
        <v>46067</v>
      </c>
      <c r="D170" s="8">
        <v>7680</v>
      </c>
      <c r="E170" s="9">
        <v>9808.893</v>
      </c>
      <c r="F170" s="8">
        <v>7200</v>
      </c>
      <c r="G170" s="8">
        <v>4670</v>
      </c>
      <c r="H170" s="10">
        <f t="shared" si="9"/>
        <v>85540498.239999995</v>
      </c>
      <c r="I170" s="14">
        <f>VLOOKUP(C170,'Draw Data'!A:B,2,0)</f>
        <v>50788</v>
      </c>
      <c r="J170" s="10">
        <f t="shared" si="10"/>
        <v>1684.2659336851223</v>
      </c>
      <c r="K170" s="15">
        <f t="shared" si="11"/>
        <v>50.787999999999997</v>
      </c>
    </row>
    <row r="171" spans="2:11">
      <c r="B171" s="12">
        <f t="shared" si="8"/>
        <v>46054</v>
      </c>
      <c r="C171" s="7">
        <v>46068</v>
      </c>
      <c r="D171" s="8">
        <v>7818</v>
      </c>
      <c r="E171" s="9">
        <v>9768.7479999999996</v>
      </c>
      <c r="F171" s="8">
        <v>7350</v>
      </c>
      <c r="G171" s="8">
        <v>4650</v>
      </c>
      <c r="H171" s="10">
        <f t="shared" si="9"/>
        <v>86692071.863999993</v>
      </c>
      <c r="I171" s="14">
        <f>VLOOKUP(C171,'Draw Data'!A:B,2,0)</f>
        <v>51062</v>
      </c>
      <c r="J171" s="10">
        <f t="shared" si="10"/>
        <v>1697.7805778073712</v>
      </c>
      <c r="K171" s="15">
        <f t="shared" si="11"/>
        <v>51.061999999999998</v>
      </c>
    </row>
    <row r="172" spans="2:11">
      <c r="B172" s="12">
        <f t="shared" si="8"/>
        <v>46054</v>
      </c>
      <c r="C172" s="7">
        <v>46069</v>
      </c>
      <c r="D172" s="8">
        <v>7837</v>
      </c>
      <c r="E172" s="9">
        <v>9403.6110000000008</v>
      </c>
      <c r="F172" s="8">
        <v>7400</v>
      </c>
      <c r="G172" s="8">
        <v>8350</v>
      </c>
      <c r="H172" s="10">
        <f t="shared" si="9"/>
        <v>87241099.407000005</v>
      </c>
      <c r="I172" s="14">
        <f>VLOOKUP(C172,'Draw Data'!A:B,2,0)</f>
        <v>53767</v>
      </c>
      <c r="J172" s="10">
        <f t="shared" si="10"/>
        <v>1622.5770343705249</v>
      </c>
      <c r="K172" s="15">
        <f t="shared" si="11"/>
        <v>53.767000000000003</v>
      </c>
    </row>
    <row r="173" spans="2:11">
      <c r="B173" s="12">
        <f t="shared" si="8"/>
        <v>46054</v>
      </c>
      <c r="C173" s="7">
        <v>46070</v>
      </c>
      <c r="D173" s="8">
        <v>8023</v>
      </c>
      <c r="E173" s="9">
        <v>9513.74</v>
      </c>
      <c r="F173" s="8">
        <v>7370</v>
      </c>
      <c r="G173" s="8">
        <v>8790</v>
      </c>
      <c r="H173" s="10">
        <f t="shared" si="9"/>
        <v>90226336.019999996</v>
      </c>
      <c r="I173" s="14">
        <f>VLOOKUP(C173,'Draw Data'!A:B,2,0)</f>
        <v>55904</v>
      </c>
      <c r="J173" s="10">
        <f t="shared" si="10"/>
        <v>1613.9513455208928</v>
      </c>
      <c r="K173" s="15">
        <f t="shared" si="11"/>
        <v>55.904000000000003</v>
      </c>
    </row>
    <row r="174" spans="2:11">
      <c r="B174" s="12">
        <f t="shared" si="8"/>
        <v>46054</v>
      </c>
      <c r="C174" s="7">
        <v>46071</v>
      </c>
      <c r="D174" s="8">
        <v>8248</v>
      </c>
      <c r="E174" s="9">
        <v>9348.2829999999994</v>
      </c>
      <c r="F174" s="8">
        <v>7330</v>
      </c>
      <c r="G174" s="8">
        <v>10010</v>
      </c>
      <c r="H174" s="10">
        <f t="shared" si="9"/>
        <v>92017038.184</v>
      </c>
      <c r="I174" s="14">
        <f>VLOOKUP(C174,'Draw Data'!A:B,2,0)</f>
        <v>59616</v>
      </c>
      <c r="J174" s="10">
        <f t="shared" si="10"/>
        <v>1543.4956753891572</v>
      </c>
      <c r="K174" s="15">
        <f t="shared" si="11"/>
        <v>59.616</v>
      </c>
    </row>
    <row r="175" spans="2:11">
      <c r="B175" s="12">
        <f t="shared" si="8"/>
        <v>46054</v>
      </c>
      <c r="C175" s="7">
        <v>46072</v>
      </c>
      <c r="D175" s="8">
        <v>8249</v>
      </c>
      <c r="E175" s="9">
        <v>9382.8230000000003</v>
      </c>
      <c r="F175" s="8">
        <v>7290</v>
      </c>
      <c r="G175" s="8">
        <v>9220</v>
      </c>
      <c r="H175" s="10">
        <f t="shared" si="9"/>
        <v>91597506.927000001</v>
      </c>
      <c r="I175" s="14">
        <f>VLOOKUP(C175,'Draw Data'!A:B,2,0)</f>
        <v>58670</v>
      </c>
      <c r="J175" s="10">
        <f t="shared" si="10"/>
        <v>1561.2324344128174</v>
      </c>
      <c r="K175" s="15">
        <f t="shared" si="11"/>
        <v>58.67</v>
      </c>
    </row>
    <row r="176" spans="2:11">
      <c r="B176" s="12">
        <f t="shared" si="8"/>
        <v>46054</v>
      </c>
      <c r="C176" s="7">
        <v>46073</v>
      </c>
      <c r="D176" s="8">
        <v>8090</v>
      </c>
      <c r="E176" s="9">
        <v>9441.9959999999992</v>
      </c>
      <c r="F176" s="8">
        <v>7320</v>
      </c>
      <c r="G176" s="8">
        <v>9330</v>
      </c>
      <c r="H176" s="10">
        <f t="shared" si="9"/>
        <v>90704747.640000001</v>
      </c>
      <c r="I176" s="14">
        <f>VLOOKUP(C176,'Draw Data'!A:B,2,0)</f>
        <v>58075</v>
      </c>
      <c r="J176" s="10">
        <f t="shared" si="10"/>
        <v>1561.8553188118813</v>
      </c>
      <c r="K176" s="15">
        <f t="shared" si="11"/>
        <v>58.075000000000003</v>
      </c>
    </row>
    <row r="177" spans="2:11">
      <c r="B177" s="12">
        <f t="shared" si="8"/>
        <v>46054</v>
      </c>
      <c r="C177" s="7">
        <v>46074</v>
      </c>
      <c r="D177" s="8">
        <v>8052</v>
      </c>
      <c r="E177" s="9">
        <v>9523.16</v>
      </c>
      <c r="F177" s="8">
        <v>7195</v>
      </c>
      <c r="G177" s="8">
        <v>8590</v>
      </c>
      <c r="H177" s="10">
        <f t="shared" si="9"/>
        <v>90255584.319999993</v>
      </c>
      <c r="I177" s="14">
        <f>VLOOKUP(C177,'Draw Data'!A:B,2,0)</f>
        <v>57147</v>
      </c>
      <c r="J177" s="10">
        <f t="shared" si="10"/>
        <v>1579.3582221288955</v>
      </c>
      <c r="K177" s="15">
        <f t="shared" si="11"/>
        <v>57.146999999999998</v>
      </c>
    </row>
    <row r="178" spans="2:11">
      <c r="B178" s="12">
        <f t="shared" si="8"/>
        <v>46054</v>
      </c>
      <c r="C178" s="7">
        <v>46075</v>
      </c>
      <c r="D178" s="8">
        <v>8131</v>
      </c>
      <c r="E178" s="9">
        <v>9543.1730000000007</v>
      </c>
      <c r="F178" s="8">
        <v>7375</v>
      </c>
      <c r="G178" s="8">
        <v>7480</v>
      </c>
      <c r="H178" s="10">
        <f t="shared" si="9"/>
        <v>90370839.663000003</v>
      </c>
      <c r="I178" s="14">
        <f>VLOOKUP(C178,'Draw Data'!A:B,2,0)</f>
        <v>56058</v>
      </c>
      <c r="J178" s="10">
        <f t="shared" si="10"/>
        <v>1612.0953238253237</v>
      </c>
      <c r="K178" s="15">
        <f t="shared" si="11"/>
        <v>56.058</v>
      </c>
    </row>
    <row r="179" spans="2:11">
      <c r="B179" s="12">
        <f t="shared" si="8"/>
        <v>46054</v>
      </c>
      <c r="C179" s="7">
        <v>46076</v>
      </c>
      <c r="D179" s="8">
        <v>8016</v>
      </c>
      <c r="E179" s="9">
        <v>9757.1039999999994</v>
      </c>
      <c r="F179" s="8">
        <v>7330</v>
      </c>
      <c r="G179" s="8">
        <v>6930</v>
      </c>
      <c r="H179" s="10">
        <f t="shared" si="9"/>
        <v>90476545.66399999</v>
      </c>
      <c r="I179" s="14">
        <f>VLOOKUP(C179,'Draw Data'!A:B,2,0)</f>
        <v>56543</v>
      </c>
      <c r="J179" s="10">
        <f t="shared" si="10"/>
        <v>1600.1369871425286</v>
      </c>
      <c r="K179" s="15">
        <f t="shared" si="11"/>
        <v>56.542999999999999</v>
      </c>
    </row>
    <row r="180" spans="2:11">
      <c r="B180" s="12">
        <f t="shared" si="8"/>
        <v>46054</v>
      </c>
      <c r="C180" s="7">
        <v>46077</v>
      </c>
      <c r="D180" s="8">
        <v>7924</v>
      </c>
      <c r="E180" s="9">
        <v>9678.0480000000007</v>
      </c>
      <c r="F180" s="8">
        <v>7240</v>
      </c>
      <c r="G180" s="8">
        <v>7350</v>
      </c>
      <c r="H180" s="10">
        <f t="shared" si="9"/>
        <v>89236252.351999998</v>
      </c>
      <c r="I180" s="14">
        <f>VLOOKUP(C180,'Draw Data'!A:B,2,0)</f>
        <v>55168</v>
      </c>
      <c r="J180" s="10">
        <f t="shared" si="10"/>
        <v>1617.5364767981439</v>
      </c>
      <c r="K180" s="15">
        <f t="shared" si="11"/>
        <v>55.167999999999999</v>
      </c>
    </row>
    <row r="181" spans="2:11">
      <c r="B181" s="12">
        <f t="shared" si="8"/>
        <v>46054</v>
      </c>
      <c r="C181" s="7">
        <v>46078</v>
      </c>
      <c r="D181" s="8">
        <v>8309</v>
      </c>
      <c r="E181" s="9">
        <v>9255.7569999999996</v>
      </c>
      <c r="F181" s="8">
        <v>7300</v>
      </c>
      <c r="G181" s="8">
        <v>8950</v>
      </c>
      <c r="H181" s="10">
        <f t="shared" si="9"/>
        <v>90881084.913000003</v>
      </c>
      <c r="I181" s="14">
        <f>VLOOKUP(C181,'Draw Data'!A:B,2,0)</f>
        <v>57607</v>
      </c>
      <c r="J181" s="10">
        <f t="shared" si="10"/>
        <v>1577.6048902563925</v>
      </c>
      <c r="K181" s="15">
        <f t="shared" si="11"/>
        <v>57.606999999999999</v>
      </c>
    </row>
    <row r="182" spans="2:11">
      <c r="B182" s="12">
        <f t="shared" si="8"/>
        <v>46054</v>
      </c>
      <c r="C182" s="7">
        <v>46079</v>
      </c>
      <c r="D182" s="8">
        <v>8193</v>
      </c>
      <c r="E182" s="9">
        <v>9411.2019999999993</v>
      </c>
      <c r="F182" s="8">
        <v>7350</v>
      </c>
      <c r="G182" s="8">
        <v>9080</v>
      </c>
      <c r="H182" s="10">
        <f t="shared" si="9"/>
        <v>91235777.986000001</v>
      </c>
      <c r="I182" s="14">
        <f>VLOOKUP(C182,'Draw Data'!A:B,2,0)</f>
        <v>56754</v>
      </c>
      <c r="J182" s="10">
        <f t="shared" si="10"/>
        <v>1607.5655986538395</v>
      </c>
      <c r="K182" s="15">
        <f t="shared" si="11"/>
        <v>56.753999999999998</v>
      </c>
    </row>
    <row r="183" spans="2:11">
      <c r="B183" s="12">
        <f t="shared" si="8"/>
        <v>46054</v>
      </c>
      <c r="C183" s="7">
        <v>46080</v>
      </c>
      <c r="D183" s="8">
        <v>8178</v>
      </c>
      <c r="E183" s="9">
        <v>9474.0059999999994</v>
      </c>
      <c r="F183" s="8">
        <v>7360</v>
      </c>
      <c r="G183" s="8">
        <v>9340</v>
      </c>
      <c r="H183" s="10">
        <f t="shared" si="9"/>
        <v>91840421.067999989</v>
      </c>
      <c r="I183" s="14">
        <f>VLOOKUP(C183,'Draw Data'!A:B,2,0)</f>
        <v>57536</v>
      </c>
      <c r="J183" s="10">
        <f t="shared" si="10"/>
        <v>1596.2253383620687</v>
      </c>
      <c r="K183" s="15">
        <f t="shared" si="11"/>
        <v>57.536000000000001</v>
      </c>
    </row>
    <row r="184" spans="2:11">
      <c r="B184" s="12">
        <f t="shared" si="8"/>
        <v>46054</v>
      </c>
      <c r="C184" s="7">
        <v>46081</v>
      </c>
      <c r="D184" s="8">
        <v>8171</v>
      </c>
      <c r="E184" s="9">
        <v>9577.8889999999992</v>
      </c>
      <c r="F184" s="8">
        <v>7240</v>
      </c>
      <c r="G184" s="8">
        <v>10160</v>
      </c>
      <c r="H184" s="10">
        <f t="shared" si="9"/>
        <v>93224931.018999994</v>
      </c>
      <c r="I184" s="14">
        <f>VLOOKUP(C184,'Draw Data'!A:B,2,0)</f>
        <v>59022</v>
      </c>
      <c r="J184" s="10">
        <f t="shared" si="10"/>
        <v>1579.4946125004235</v>
      </c>
      <c r="K184" s="15">
        <f t="shared" si="11"/>
        <v>59.021999999999998</v>
      </c>
    </row>
    <row r="185" spans="2:11">
      <c r="B185" s="12">
        <f t="shared" si="8"/>
        <v>46082</v>
      </c>
      <c r="C185" s="7">
        <v>46082</v>
      </c>
      <c r="D185" s="8">
        <v>8297</v>
      </c>
      <c r="E185" s="9">
        <v>9391.9279999999999</v>
      </c>
      <c r="F185" s="8">
        <v>7320</v>
      </c>
      <c r="G185" s="8">
        <v>10080</v>
      </c>
      <c r="H185" s="10">
        <f t="shared" si="9"/>
        <v>92888826.615999997</v>
      </c>
      <c r="I185" s="14">
        <f>VLOOKUP(C185,'Draw Data'!A:B,2,0)</f>
        <v>60342</v>
      </c>
      <c r="J185" s="10">
        <f t="shared" si="10"/>
        <v>1539.3726859567134</v>
      </c>
      <c r="K185" s="15">
        <f t="shared" si="11"/>
        <v>60.341999999999999</v>
      </c>
    </row>
    <row r="186" spans="2:11">
      <c r="B186" s="12">
        <f t="shared" si="8"/>
        <v>46082</v>
      </c>
      <c r="C186" s="7">
        <v>46083</v>
      </c>
      <c r="D186" s="8">
        <v>8375</v>
      </c>
      <c r="E186" s="9">
        <v>9288.24</v>
      </c>
      <c r="F186" s="8">
        <v>7300</v>
      </c>
      <c r="G186" s="8">
        <v>12690</v>
      </c>
      <c r="H186" s="10">
        <f t="shared" si="9"/>
        <v>94980410</v>
      </c>
      <c r="I186" s="14">
        <f>VLOOKUP(C186,'Draw Data'!A:B,2,0)</f>
        <v>62436</v>
      </c>
      <c r="J186" s="10">
        <f t="shared" si="10"/>
        <v>1521.244314177718</v>
      </c>
      <c r="K186" s="15">
        <f t="shared" si="11"/>
        <v>62.436</v>
      </c>
    </row>
    <row r="187" spans="2:11">
      <c r="B187" s="12">
        <f t="shared" si="8"/>
        <v>46082</v>
      </c>
      <c r="C187" s="7">
        <v>46084</v>
      </c>
      <c r="D187" s="8">
        <v>8228</v>
      </c>
      <c r="E187" s="9">
        <v>9498.44</v>
      </c>
      <c r="F187" s="8">
        <v>7360</v>
      </c>
      <c r="G187" s="8">
        <v>9540</v>
      </c>
      <c r="H187" s="10">
        <f t="shared" si="9"/>
        <v>92687164.320000008</v>
      </c>
      <c r="I187" s="14">
        <f>VLOOKUP(C187,'Draw Data'!A:B,2,0)</f>
        <v>59597</v>
      </c>
      <c r="J187" s="10">
        <f t="shared" si="10"/>
        <v>1555.2320472507006</v>
      </c>
      <c r="K187" s="15">
        <f t="shared" si="11"/>
        <v>59.597000000000001</v>
      </c>
    </row>
    <row r="188" spans="2:11">
      <c r="B188" s="12">
        <f t="shared" si="8"/>
        <v>46082</v>
      </c>
      <c r="C188" s="7">
        <v>46085</v>
      </c>
      <c r="D188" s="8">
        <v>8092</v>
      </c>
      <c r="E188" s="9">
        <v>9648.6669999999995</v>
      </c>
      <c r="F188" s="8">
        <v>7260</v>
      </c>
      <c r="G188" s="8">
        <v>9250</v>
      </c>
      <c r="H188" s="10">
        <f t="shared" si="9"/>
        <v>92275613.363999993</v>
      </c>
      <c r="I188" s="14">
        <f>VLOOKUP(C188,'Draw Data'!A:B,2,0)</f>
        <v>58832</v>
      </c>
      <c r="J188" s="10">
        <f t="shared" si="10"/>
        <v>1568.4595690100625</v>
      </c>
      <c r="K188" s="15">
        <f t="shared" si="11"/>
        <v>58.832000000000001</v>
      </c>
    </row>
    <row r="189" spans="2:11">
      <c r="B189" s="12">
        <f t="shared" si="8"/>
        <v>46082</v>
      </c>
      <c r="C189" s="7">
        <v>46086</v>
      </c>
      <c r="D189" s="8">
        <v>8275</v>
      </c>
      <c r="E189" s="9">
        <v>9334.8760000000002</v>
      </c>
      <c r="F189" s="8">
        <v>7330</v>
      </c>
      <c r="G189" s="8">
        <v>8320</v>
      </c>
      <c r="H189" s="10">
        <f t="shared" si="9"/>
        <v>90705098.900000006</v>
      </c>
      <c r="I189" s="14">
        <f>VLOOKUP(C189,'Draw Data'!A:B,2,0)</f>
        <v>56231</v>
      </c>
      <c r="J189" s="10">
        <f t="shared" si="10"/>
        <v>1613.0799541178355</v>
      </c>
      <c r="K189" s="15">
        <f t="shared" si="11"/>
        <v>56.231000000000002</v>
      </c>
    </row>
    <row r="190" spans="2:11">
      <c r="B190" s="12">
        <f t="shared" si="8"/>
        <v>46082</v>
      </c>
      <c r="C190" s="7">
        <v>46087</v>
      </c>
      <c r="D190" s="8">
        <v>8137</v>
      </c>
      <c r="E190" s="9">
        <v>9438.7450000000008</v>
      </c>
      <c r="F190" s="8">
        <v>7320</v>
      </c>
      <c r="G190" s="8">
        <v>6970</v>
      </c>
      <c r="H190" s="10">
        <f t="shared" si="9"/>
        <v>89092468.065000013</v>
      </c>
      <c r="I190" s="14">
        <f>VLOOKUP(C190,'Draw Data'!A:B,2,0)</f>
        <v>54391</v>
      </c>
      <c r="J190" s="10">
        <f t="shared" si="10"/>
        <v>1638.0001850489973</v>
      </c>
      <c r="K190" s="15">
        <f t="shared" si="11"/>
        <v>54.390999999999998</v>
      </c>
    </row>
    <row r="191" spans="2:11">
      <c r="B191" s="12">
        <f t="shared" si="8"/>
        <v>46082</v>
      </c>
      <c r="C191" s="7">
        <v>46088</v>
      </c>
      <c r="D191" s="8">
        <v>8127</v>
      </c>
      <c r="E191" s="9">
        <v>9383.3469999999998</v>
      </c>
      <c r="F191" s="8">
        <v>7390</v>
      </c>
      <c r="G191" s="8">
        <v>7220</v>
      </c>
      <c r="H191" s="10">
        <f t="shared" si="9"/>
        <v>88823061.068999991</v>
      </c>
      <c r="I191" s="14">
        <f>VLOOKUP(C191,'Draw Data'!A:B,2,0)</f>
        <v>55258</v>
      </c>
      <c r="J191" s="10">
        <f t="shared" si="10"/>
        <v>1607.4244646747979</v>
      </c>
      <c r="K191" s="15">
        <f t="shared" si="11"/>
        <v>55.258000000000003</v>
      </c>
    </row>
    <row r="192" spans="2:11">
      <c r="B192" s="12">
        <f t="shared" si="8"/>
        <v>46082</v>
      </c>
      <c r="C192" s="7">
        <v>46089</v>
      </c>
      <c r="D192" s="8">
        <v>7854</v>
      </c>
      <c r="E192" s="9">
        <v>9439.1229999999996</v>
      </c>
      <c r="F192" s="8">
        <v>7280</v>
      </c>
      <c r="G192" s="8">
        <v>6420</v>
      </c>
      <c r="H192" s="10">
        <f t="shared" si="9"/>
        <v>85916872.041999996</v>
      </c>
      <c r="I192" s="14">
        <f>VLOOKUP(C192,'Draw Data'!A:B,2,0)</f>
        <v>52217</v>
      </c>
      <c r="J192" s="10">
        <f t="shared" si="10"/>
        <v>1645.3812368002757</v>
      </c>
      <c r="K192" s="15">
        <f t="shared" si="11"/>
        <v>52.216999999999999</v>
      </c>
    </row>
    <row r="193" spans="2:11">
      <c r="B193" s="12">
        <f t="shared" si="8"/>
        <v>46082</v>
      </c>
      <c r="C193" s="7">
        <v>46090</v>
      </c>
      <c r="D193" s="8">
        <v>7671</v>
      </c>
      <c r="E193" s="9">
        <v>9750.5849999999991</v>
      </c>
      <c r="F193" s="8">
        <v>7440</v>
      </c>
      <c r="G193" s="8">
        <v>5880</v>
      </c>
      <c r="H193" s="10">
        <f t="shared" si="9"/>
        <v>86251937.534999996</v>
      </c>
      <c r="I193" s="14">
        <f>VLOOKUP(C193,'Draw Data'!A:B,2,0)</f>
        <v>52540</v>
      </c>
      <c r="J193" s="10">
        <f t="shared" si="10"/>
        <v>1641.6432724590786</v>
      </c>
      <c r="K193" s="15">
        <f t="shared" si="11"/>
        <v>52.54</v>
      </c>
    </row>
    <row r="194" spans="2:11">
      <c r="B194" s="12">
        <f t="shared" si="8"/>
        <v>46082</v>
      </c>
      <c r="C194" s="7">
        <v>46091</v>
      </c>
      <c r="D194" s="8">
        <v>7800</v>
      </c>
      <c r="E194" s="9">
        <v>9774.0400000000009</v>
      </c>
      <c r="F194" s="8">
        <v>7250</v>
      </c>
      <c r="G194" s="8">
        <v>7070</v>
      </c>
      <c r="H194" s="10">
        <f t="shared" si="9"/>
        <v>88552712</v>
      </c>
      <c r="I194" s="14">
        <f>VLOOKUP(C194,'Draw Data'!A:B,2,0)</f>
        <v>55867</v>
      </c>
      <c r="J194" s="10">
        <f t="shared" si="10"/>
        <v>1585.0629530850053</v>
      </c>
      <c r="K194" s="15">
        <f t="shared" si="11"/>
        <v>55.866999999999997</v>
      </c>
    </row>
    <row r="195" spans="2:11">
      <c r="B195" s="12">
        <f t="shared" si="8"/>
        <v>46082</v>
      </c>
      <c r="C195" s="7">
        <v>46092</v>
      </c>
      <c r="D195" s="8">
        <v>8046</v>
      </c>
      <c r="E195" s="9">
        <v>9520.8549999999996</v>
      </c>
      <c r="F195" s="8">
        <v>7320</v>
      </c>
      <c r="G195" s="8">
        <v>9580</v>
      </c>
      <c r="H195" s="10">
        <f t="shared" si="9"/>
        <v>91138799.329999998</v>
      </c>
      <c r="I195" s="14">
        <f>VLOOKUP(C195,'Draw Data'!A:B,2,0)</f>
        <v>57644</v>
      </c>
      <c r="J195" s="10">
        <f t="shared" si="10"/>
        <v>1581.0630651932552</v>
      </c>
      <c r="K195" s="15">
        <f t="shared" si="11"/>
        <v>57.643999999999998</v>
      </c>
    </row>
    <row r="196" spans="2:11">
      <c r="B196" s="12">
        <f t="shared" si="8"/>
        <v>46082</v>
      </c>
      <c r="C196" s="7">
        <v>46093</v>
      </c>
      <c r="D196" s="8">
        <v>7929</v>
      </c>
      <c r="E196" s="9">
        <v>9623.3649999999998</v>
      </c>
      <c r="F196" s="8">
        <v>7300</v>
      </c>
      <c r="G196" s="8">
        <v>9890</v>
      </c>
      <c r="H196" s="10">
        <f t="shared" si="9"/>
        <v>91087061.084999993</v>
      </c>
      <c r="I196" s="14">
        <f>VLOOKUP(C196,'Draw Data'!A:B,2,0)</f>
        <v>58220</v>
      </c>
      <c r="J196" s="10">
        <f t="shared" si="10"/>
        <v>1564.532138182755</v>
      </c>
      <c r="K196" s="15">
        <f t="shared" si="11"/>
        <v>58.22</v>
      </c>
    </row>
    <row r="197" spans="2:11">
      <c r="B197" s="12">
        <f t="shared" ref="B197:B260" si="12">DATE(YEAR(C197),MONTH(C197),1)</f>
        <v>46082</v>
      </c>
      <c r="C197" s="7">
        <v>46094</v>
      </c>
      <c r="D197" s="8">
        <v>8048</v>
      </c>
      <c r="E197" s="9">
        <v>9621.0480000000007</v>
      </c>
      <c r="F197" s="8">
        <v>7330</v>
      </c>
      <c r="G197" s="8">
        <v>10500</v>
      </c>
      <c r="H197" s="10">
        <f t="shared" ref="H197:H260" si="13">((D197 *(E197))+ ((F197+G197)*860))</f>
        <v>92763994.304000005</v>
      </c>
      <c r="I197" s="14">
        <f>VLOOKUP(C197,'Draw Data'!A:B,2,0)</f>
        <v>60461</v>
      </c>
      <c r="J197" s="10">
        <f t="shared" ref="J197:J260" si="14">H197/I197</f>
        <v>1534.2782008898298</v>
      </c>
      <c r="K197" s="15">
        <f t="shared" ref="K197:K260" si="15">I197/1000</f>
        <v>60.460999999999999</v>
      </c>
    </row>
    <row r="198" spans="2:11">
      <c r="B198" s="12">
        <f t="shared" si="12"/>
        <v>46082</v>
      </c>
      <c r="C198" s="7">
        <v>46095</v>
      </c>
      <c r="D198" s="8">
        <v>8303</v>
      </c>
      <c r="E198" s="9">
        <v>9320.56</v>
      </c>
      <c r="F198" s="8">
        <v>7320</v>
      </c>
      <c r="G198" s="8">
        <v>10120</v>
      </c>
      <c r="H198" s="10">
        <f t="shared" si="13"/>
        <v>92387009.679999992</v>
      </c>
      <c r="I198" s="14">
        <f>VLOOKUP(C198,'Draw Data'!A:B,2,0)</f>
        <v>58530</v>
      </c>
      <c r="J198" s="10">
        <f t="shared" si="14"/>
        <v>1578.4556582948915</v>
      </c>
      <c r="K198" s="15">
        <f t="shared" si="15"/>
        <v>58.53</v>
      </c>
    </row>
    <row r="199" spans="2:11">
      <c r="B199" s="12">
        <f t="shared" si="12"/>
        <v>46082</v>
      </c>
      <c r="C199" s="7">
        <v>46096</v>
      </c>
      <c r="D199" s="8">
        <v>8118</v>
      </c>
      <c r="E199" s="9">
        <v>9538.2180000000008</v>
      </c>
      <c r="F199" s="8">
        <v>7370</v>
      </c>
      <c r="G199" s="8">
        <v>10640</v>
      </c>
      <c r="H199" s="10">
        <f t="shared" si="13"/>
        <v>92919853.724000007</v>
      </c>
      <c r="I199" s="14">
        <f>VLOOKUP(C199,'Draw Data'!A:B,2,0)</f>
        <v>60016</v>
      </c>
      <c r="J199" s="10">
        <f t="shared" si="14"/>
        <v>1548.2513617035459</v>
      </c>
      <c r="K199" s="15">
        <f t="shared" si="15"/>
        <v>60.015999999999998</v>
      </c>
    </row>
    <row r="200" spans="2:11">
      <c r="B200" s="12">
        <f t="shared" si="12"/>
        <v>46082</v>
      </c>
      <c r="C200" s="7">
        <v>46097</v>
      </c>
      <c r="D200" s="8">
        <v>7821</v>
      </c>
      <c r="E200" s="9">
        <v>9926.7520000000004</v>
      </c>
      <c r="F200" s="8">
        <v>7340</v>
      </c>
      <c r="G200" s="8">
        <v>10160</v>
      </c>
      <c r="H200" s="10">
        <f t="shared" si="13"/>
        <v>92687127.392000005</v>
      </c>
      <c r="I200" s="14">
        <f>VLOOKUP(C200,'Draw Data'!A:B,2,0)</f>
        <v>58895</v>
      </c>
      <c r="J200" s="10">
        <f t="shared" si="14"/>
        <v>1573.7690362849139</v>
      </c>
      <c r="K200" s="15">
        <f t="shared" si="15"/>
        <v>58.895000000000003</v>
      </c>
    </row>
    <row r="201" spans="2:11">
      <c r="B201" s="12">
        <f t="shared" si="12"/>
        <v>46082</v>
      </c>
      <c r="C201" s="7">
        <v>46098</v>
      </c>
      <c r="D201" s="8">
        <v>7849</v>
      </c>
      <c r="E201" s="9">
        <v>9928.2019999999993</v>
      </c>
      <c r="F201" s="8">
        <v>7280</v>
      </c>
      <c r="G201" s="8">
        <v>9140</v>
      </c>
      <c r="H201" s="10">
        <f t="shared" si="13"/>
        <v>92047657.497999996</v>
      </c>
      <c r="I201" s="14">
        <f>VLOOKUP(C201,'Draw Data'!A:B,2,0)</f>
        <v>56218</v>
      </c>
      <c r="J201" s="10">
        <f t="shared" si="14"/>
        <v>1637.3342612330568</v>
      </c>
      <c r="K201" s="15">
        <f t="shared" si="15"/>
        <v>56.218000000000004</v>
      </c>
    </row>
    <row r="202" spans="2:11">
      <c r="B202" s="12">
        <f t="shared" si="12"/>
        <v>46082</v>
      </c>
      <c r="C202" s="7">
        <v>46099</v>
      </c>
      <c r="D202" s="8">
        <v>7462</v>
      </c>
      <c r="E202" s="9">
        <v>10302.504000000001</v>
      </c>
      <c r="F202" s="8">
        <v>7310</v>
      </c>
      <c r="G202" s="8">
        <v>8410</v>
      </c>
      <c r="H202" s="10">
        <f t="shared" si="13"/>
        <v>90396484.848000005</v>
      </c>
      <c r="I202" s="14">
        <f>VLOOKUP(C202,'Draw Data'!A:B,2,0)</f>
        <v>57020</v>
      </c>
      <c r="J202" s="10">
        <f t="shared" si="14"/>
        <v>1585.3469808488251</v>
      </c>
      <c r="K202" s="15">
        <f t="shared" si="15"/>
        <v>57.02</v>
      </c>
    </row>
    <row r="203" spans="2:11">
      <c r="B203" s="12">
        <f t="shared" si="12"/>
        <v>46082</v>
      </c>
      <c r="C203" s="7">
        <v>46100</v>
      </c>
      <c r="D203" s="8">
        <v>7522</v>
      </c>
      <c r="E203" s="9">
        <v>10238.290999999999</v>
      </c>
      <c r="F203" s="8">
        <v>6600</v>
      </c>
      <c r="G203" s="8">
        <v>10100</v>
      </c>
      <c r="H203" s="10">
        <f t="shared" si="13"/>
        <v>91374424.901999995</v>
      </c>
      <c r="I203" s="14">
        <f>VLOOKUP(C203,'Draw Data'!A:B,2,0)</f>
        <v>58730</v>
      </c>
      <c r="J203" s="10">
        <f t="shared" si="14"/>
        <v>1555.8390073556955</v>
      </c>
      <c r="K203" s="15">
        <f t="shared" si="15"/>
        <v>58.73</v>
      </c>
    </row>
    <row r="204" spans="2:11">
      <c r="B204" s="12">
        <f t="shared" si="12"/>
        <v>46082</v>
      </c>
      <c r="C204" s="7">
        <v>46101</v>
      </c>
      <c r="D204" s="8">
        <v>7398</v>
      </c>
      <c r="E204" s="9">
        <v>10311.263999999999</v>
      </c>
      <c r="F204" s="8">
        <v>7290</v>
      </c>
      <c r="G204" s="8">
        <v>10290</v>
      </c>
      <c r="H204" s="10">
        <f t="shared" si="13"/>
        <v>91401531.071999997</v>
      </c>
      <c r="I204" s="14">
        <f>VLOOKUP(C204,'Draw Data'!A:B,2,0)</f>
        <v>57692</v>
      </c>
      <c r="J204" s="10">
        <f t="shared" si="14"/>
        <v>1584.301654856826</v>
      </c>
      <c r="K204" s="15">
        <f t="shared" si="15"/>
        <v>57.692</v>
      </c>
    </row>
    <row r="205" spans="2:11">
      <c r="B205" s="12">
        <f t="shared" si="12"/>
        <v>46082</v>
      </c>
      <c r="C205" s="7">
        <v>46102</v>
      </c>
      <c r="D205" s="8">
        <v>7536</v>
      </c>
      <c r="E205" s="9">
        <v>10307.215</v>
      </c>
      <c r="F205" s="8">
        <v>7380</v>
      </c>
      <c r="G205" s="8">
        <v>9760</v>
      </c>
      <c r="H205" s="10">
        <f t="shared" si="13"/>
        <v>92415572.239999995</v>
      </c>
      <c r="I205" s="14">
        <f>VLOOKUP(C205,'Draw Data'!A:B,2,0)</f>
        <v>57418</v>
      </c>
      <c r="J205" s="10">
        <f t="shared" si="14"/>
        <v>1609.5226625796788</v>
      </c>
      <c r="K205" s="15">
        <f t="shared" si="15"/>
        <v>57.417999999999999</v>
      </c>
    </row>
    <row r="206" spans="2:11">
      <c r="B206" s="12">
        <f t="shared" si="12"/>
        <v>46082</v>
      </c>
      <c r="C206" s="7">
        <v>46103</v>
      </c>
      <c r="D206" s="8">
        <v>7502</v>
      </c>
      <c r="E206" s="9">
        <v>10273.088</v>
      </c>
      <c r="F206" s="8">
        <v>7330</v>
      </c>
      <c r="G206" s="8">
        <v>10470</v>
      </c>
      <c r="H206" s="10">
        <f t="shared" si="13"/>
        <v>92376706.175999999</v>
      </c>
      <c r="I206" s="14">
        <f>VLOOKUP(C206,'Draw Data'!A:B,2,0)</f>
        <v>58660</v>
      </c>
      <c r="J206" s="10">
        <f t="shared" si="14"/>
        <v>1574.7818986703035</v>
      </c>
      <c r="K206" s="15">
        <f t="shared" si="15"/>
        <v>58.66</v>
      </c>
    </row>
    <row r="207" spans="2:11">
      <c r="B207" s="12">
        <f t="shared" si="12"/>
        <v>46082</v>
      </c>
      <c r="C207" s="7">
        <v>46104</v>
      </c>
      <c r="D207" s="8">
        <v>7653</v>
      </c>
      <c r="E207" s="9">
        <v>10232.115</v>
      </c>
      <c r="F207" s="8">
        <v>7280</v>
      </c>
      <c r="G207" s="8">
        <v>10460</v>
      </c>
      <c r="H207" s="10">
        <f t="shared" si="13"/>
        <v>93562776.094999999</v>
      </c>
      <c r="I207" s="14">
        <f>VLOOKUP(C207,'Draw Data'!A:B,2,0)</f>
        <v>59945</v>
      </c>
      <c r="J207" s="10">
        <f t="shared" si="14"/>
        <v>1560.8103443990324</v>
      </c>
      <c r="K207" s="15">
        <f t="shared" si="15"/>
        <v>59.945</v>
      </c>
    </row>
    <row r="208" spans="2:11">
      <c r="B208" s="12">
        <f t="shared" si="12"/>
        <v>46082</v>
      </c>
      <c r="C208" s="7">
        <v>46105</v>
      </c>
      <c r="D208" s="8">
        <v>7642</v>
      </c>
      <c r="E208" s="9">
        <v>10271.003000000001</v>
      </c>
      <c r="F208" s="8">
        <v>7400</v>
      </c>
      <c r="G208" s="8">
        <v>9140</v>
      </c>
      <c r="H208" s="10">
        <f t="shared" si="13"/>
        <v>92715404.925999999</v>
      </c>
      <c r="I208" s="14">
        <f>VLOOKUP(C208,'Draw Data'!A:B,2,0)</f>
        <v>58754</v>
      </c>
      <c r="J208" s="10">
        <f t="shared" si="14"/>
        <v>1578.0271117881337</v>
      </c>
      <c r="K208" s="15">
        <f t="shared" si="15"/>
        <v>58.753999999999998</v>
      </c>
    </row>
    <row r="209" spans="2:11">
      <c r="B209" s="12">
        <f t="shared" si="12"/>
        <v>46082</v>
      </c>
      <c r="C209" s="7">
        <v>46106</v>
      </c>
      <c r="D209" s="8">
        <v>7547</v>
      </c>
      <c r="E209" s="9">
        <v>10123.641</v>
      </c>
      <c r="F209" s="8">
        <v>7300</v>
      </c>
      <c r="G209" s="8">
        <v>8750</v>
      </c>
      <c r="H209" s="10">
        <f t="shared" si="13"/>
        <v>90206118.627000004</v>
      </c>
      <c r="I209" s="14">
        <f>VLOOKUP(C209,'Draw Data'!A:B,2,0)</f>
        <v>57180</v>
      </c>
      <c r="J209" s="10">
        <f t="shared" si="14"/>
        <v>1577.5816479013642</v>
      </c>
      <c r="K209" s="15">
        <f t="shared" si="15"/>
        <v>57.18</v>
      </c>
    </row>
    <row r="210" spans="2:11">
      <c r="B210" s="12">
        <f t="shared" si="12"/>
        <v>46082</v>
      </c>
      <c r="C210" s="7">
        <v>46107</v>
      </c>
      <c r="D210" s="8">
        <v>7375</v>
      </c>
      <c r="E210" s="9">
        <v>10290.146000000001</v>
      </c>
      <c r="F210" s="8">
        <v>7300</v>
      </c>
      <c r="G210" s="8">
        <v>5960</v>
      </c>
      <c r="H210" s="10">
        <f t="shared" si="13"/>
        <v>87293426.75</v>
      </c>
      <c r="I210" s="14">
        <f>VLOOKUP(C210,'Draw Data'!A:B,2,0)</f>
        <v>51341</v>
      </c>
      <c r="J210" s="10">
        <f t="shared" si="14"/>
        <v>1700.2673642897489</v>
      </c>
      <c r="K210" s="15">
        <f t="shared" si="15"/>
        <v>51.341000000000001</v>
      </c>
    </row>
    <row r="211" spans="2:11">
      <c r="B211" s="12">
        <f t="shared" si="12"/>
        <v>46082</v>
      </c>
      <c r="C211" s="7">
        <v>46108</v>
      </c>
      <c r="D211" s="8">
        <v>7713</v>
      </c>
      <c r="E211" s="9">
        <v>9926.6489999999994</v>
      </c>
      <c r="F211" s="8">
        <v>7330</v>
      </c>
      <c r="G211" s="8">
        <v>6160</v>
      </c>
      <c r="H211" s="10">
        <f t="shared" si="13"/>
        <v>88165643.736999989</v>
      </c>
      <c r="I211" s="14">
        <f>VLOOKUP(C211,'Draw Data'!A:B,2,0)</f>
        <v>53056</v>
      </c>
      <c r="J211" s="10">
        <f t="shared" si="14"/>
        <v>1661.7469039693906</v>
      </c>
      <c r="K211" s="15">
        <f t="shared" si="15"/>
        <v>53.055999999999997</v>
      </c>
    </row>
    <row r="212" spans="2:11">
      <c r="B212" s="12">
        <f t="shared" si="12"/>
        <v>46082</v>
      </c>
      <c r="C212" s="7">
        <v>46109</v>
      </c>
      <c r="D212" s="8">
        <v>7810</v>
      </c>
      <c r="E212" s="9">
        <v>9982.8700000000008</v>
      </c>
      <c r="F212" s="8">
        <v>7370</v>
      </c>
      <c r="G212" s="8">
        <v>5600</v>
      </c>
      <c r="H212" s="10">
        <f t="shared" si="13"/>
        <v>89120414.700000003</v>
      </c>
      <c r="I212" s="14">
        <f>VLOOKUP(C212,'Draw Data'!A:B,2,0)</f>
        <v>53446</v>
      </c>
      <c r="J212" s="10">
        <f t="shared" si="14"/>
        <v>1667.4852131123002</v>
      </c>
      <c r="K212" s="15">
        <f t="shared" si="15"/>
        <v>53.445999999999998</v>
      </c>
    </row>
    <row r="213" spans="2:11">
      <c r="B213" s="12">
        <f t="shared" si="12"/>
        <v>46082</v>
      </c>
      <c r="C213" s="7">
        <v>46110</v>
      </c>
      <c r="D213" s="8">
        <v>7516</v>
      </c>
      <c r="E213" s="9">
        <v>10232.007</v>
      </c>
      <c r="F213" s="8">
        <v>7320</v>
      </c>
      <c r="G213" s="8">
        <v>9560</v>
      </c>
      <c r="H213" s="10">
        <f t="shared" si="13"/>
        <v>91420564.612000003</v>
      </c>
      <c r="I213" s="14">
        <f>VLOOKUP(C213,'Draw Data'!A:B,2,0)</f>
        <v>58382</v>
      </c>
      <c r="J213" s="10">
        <f t="shared" si="14"/>
        <v>1565.9032683361311</v>
      </c>
      <c r="K213" s="15">
        <f t="shared" si="15"/>
        <v>58.381999999999998</v>
      </c>
    </row>
    <row r="214" spans="2:11">
      <c r="B214" s="12">
        <f t="shared" si="12"/>
        <v>46082</v>
      </c>
      <c r="C214" s="7">
        <v>46111</v>
      </c>
      <c r="D214" s="8">
        <v>8154</v>
      </c>
      <c r="E214" s="9">
        <v>9539.0540000000001</v>
      </c>
      <c r="F214" s="8">
        <v>7255</v>
      </c>
      <c r="G214" s="8">
        <v>8960</v>
      </c>
      <c r="H214" s="10">
        <f t="shared" si="13"/>
        <v>91726346.316</v>
      </c>
      <c r="I214" s="14">
        <f>VLOOKUP(C214,'Draw Data'!A:B,2,0)</f>
        <v>57686</v>
      </c>
      <c r="J214" s="10">
        <f t="shared" si="14"/>
        <v>1590.0971867697535</v>
      </c>
      <c r="K214" s="15">
        <f t="shared" si="15"/>
        <v>57.686</v>
      </c>
    </row>
    <row r="215" spans="2:11">
      <c r="B215" s="12">
        <f t="shared" si="12"/>
        <v>46082</v>
      </c>
      <c r="C215" s="7">
        <v>46112</v>
      </c>
      <c r="D215" s="8">
        <v>8166</v>
      </c>
      <c r="E215" s="9">
        <v>9640.5</v>
      </c>
      <c r="F215" s="8">
        <v>7275</v>
      </c>
      <c r="G215" s="8">
        <v>8380</v>
      </c>
      <c r="H215" s="10">
        <f t="shared" si="13"/>
        <v>92187623</v>
      </c>
      <c r="I215" s="14">
        <f>VLOOKUP(C215,'Draw Data'!A:B,2,0)</f>
        <v>56610</v>
      </c>
      <c r="J215" s="10">
        <f t="shared" si="14"/>
        <v>1628.4688747571101</v>
      </c>
      <c r="K215" s="15">
        <f t="shared" si="15"/>
        <v>56.61</v>
      </c>
    </row>
    <row r="216" spans="2:11">
      <c r="B216" s="12">
        <f t="shared" si="12"/>
        <v>46113</v>
      </c>
      <c r="C216" s="7">
        <v>46113</v>
      </c>
      <c r="D216" s="8">
        <v>7835</v>
      </c>
      <c r="E216" s="9">
        <v>10197.007</v>
      </c>
      <c r="F216" s="8">
        <v>7330</v>
      </c>
      <c r="G216" s="8">
        <v>6050</v>
      </c>
      <c r="H216" s="10">
        <f t="shared" si="13"/>
        <v>91400349.844999999</v>
      </c>
      <c r="I216" s="14">
        <f>VLOOKUP(C216,'Draw Data'!A:B,2,0)</f>
        <v>56317</v>
      </c>
      <c r="J216" s="10">
        <f t="shared" si="14"/>
        <v>1622.9619803078999</v>
      </c>
      <c r="K216" s="15">
        <f t="shared" si="15"/>
        <v>56.317</v>
      </c>
    </row>
    <row r="217" spans="2:11">
      <c r="B217" s="12">
        <f t="shared" si="12"/>
        <v>46113</v>
      </c>
      <c r="C217" s="7">
        <v>46114</v>
      </c>
      <c r="D217" s="8">
        <v>7798</v>
      </c>
      <c r="E217" s="9">
        <v>10162.174999999999</v>
      </c>
      <c r="F217" s="8">
        <v>7330</v>
      </c>
      <c r="G217" s="8">
        <v>6220</v>
      </c>
      <c r="H217" s="10">
        <f t="shared" si="13"/>
        <v>90897640.649999991</v>
      </c>
      <c r="I217" s="14">
        <f>VLOOKUP(C217,'Draw Data'!A:B,2,0)</f>
        <v>56911</v>
      </c>
      <c r="J217" s="10">
        <f t="shared" si="14"/>
        <v>1597.1893069881041</v>
      </c>
      <c r="K217" s="15">
        <f t="shared" si="15"/>
        <v>56.911000000000001</v>
      </c>
    </row>
    <row r="218" spans="2:11">
      <c r="B218" s="12">
        <f t="shared" si="12"/>
        <v>46113</v>
      </c>
      <c r="C218" s="7">
        <v>46115</v>
      </c>
      <c r="D218" s="8">
        <v>7638</v>
      </c>
      <c r="E218" s="9">
        <v>10257.793</v>
      </c>
      <c r="F218" s="8">
        <v>7340</v>
      </c>
      <c r="G218" s="8">
        <v>6520</v>
      </c>
      <c r="H218" s="10">
        <f t="shared" si="13"/>
        <v>90268622.934</v>
      </c>
      <c r="I218" s="14">
        <f>VLOOKUP(C218,'Draw Data'!A:B,2,0)</f>
        <v>55947</v>
      </c>
      <c r="J218" s="10">
        <f t="shared" si="14"/>
        <v>1613.4667262587807</v>
      </c>
      <c r="K218" s="15">
        <f t="shared" si="15"/>
        <v>55.947000000000003</v>
      </c>
    </row>
    <row r="219" spans="2:11">
      <c r="B219" s="12">
        <f t="shared" si="12"/>
        <v>46113</v>
      </c>
      <c r="C219" s="7">
        <v>46116</v>
      </c>
      <c r="D219" s="8">
        <v>7666</v>
      </c>
      <c r="E219" s="9">
        <v>10206.727000000001</v>
      </c>
      <c r="F219" s="8">
        <v>7310</v>
      </c>
      <c r="G219" s="8">
        <v>7110</v>
      </c>
      <c r="H219" s="10">
        <f t="shared" si="13"/>
        <v>90645969.182000011</v>
      </c>
      <c r="I219" s="14">
        <f>VLOOKUP(C219,'Draw Data'!A:B,2,0)</f>
        <v>56455</v>
      </c>
      <c r="J219" s="10">
        <f t="shared" si="14"/>
        <v>1605.6322590027457</v>
      </c>
      <c r="K219" s="15">
        <f t="shared" si="15"/>
        <v>56.454999999999998</v>
      </c>
    </row>
    <row r="220" spans="2:11">
      <c r="B220" s="12">
        <f t="shared" si="12"/>
        <v>46113</v>
      </c>
      <c r="C220" s="7">
        <v>46117</v>
      </c>
      <c r="D220" s="8">
        <v>7727</v>
      </c>
      <c r="E220" s="9">
        <v>10002.581</v>
      </c>
      <c r="F220" s="8">
        <v>7350</v>
      </c>
      <c r="G220" s="8">
        <v>11140</v>
      </c>
      <c r="H220" s="10">
        <f t="shared" si="13"/>
        <v>93191343.386999995</v>
      </c>
      <c r="I220" s="14">
        <f>VLOOKUP(C220,'Draw Data'!A:B,2,0)</f>
        <v>60842</v>
      </c>
      <c r="J220" s="10">
        <f t="shared" si="14"/>
        <v>1531.6942800532527</v>
      </c>
      <c r="K220" s="15">
        <f t="shared" si="15"/>
        <v>60.841999999999999</v>
      </c>
    </row>
    <row r="221" spans="2:11">
      <c r="B221" s="12">
        <f t="shared" si="12"/>
        <v>46113</v>
      </c>
      <c r="C221" s="7">
        <v>46118</v>
      </c>
      <c r="D221" s="8">
        <v>7790</v>
      </c>
      <c r="E221" s="9">
        <v>9978.7530000000006</v>
      </c>
      <c r="F221" s="8">
        <v>7320</v>
      </c>
      <c r="G221" s="8">
        <v>10210</v>
      </c>
      <c r="H221" s="10">
        <f t="shared" si="13"/>
        <v>92810285.870000005</v>
      </c>
      <c r="I221" s="14">
        <f>VLOOKUP(C221,'Draw Data'!A:B,2,0)</f>
        <v>60014</v>
      </c>
      <c r="J221" s="10">
        <f t="shared" si="14"/>
        <v>1546.477253140934</v>
      </c>
      <c r="K221" s="15">
        <f t="shared" si="15"/>
        <v>60.014000000000003</v>
      </c>
    </row>
    <row r="222" spans="2:11">
      <c r="B222" s="12">
        <f t="shared" si="12"/>
        <v>46113</v>
      </c>
      <c r="C222" s="7">
        <v>46119</v>
      </c>
      <c r="D222" s="8">
        <v>8059</v>
      </c>
      <c r="E222" s="9">
        <v>9637.2049999999999</v>
      </c>
      <c r="F222" s="8">
        <v>7340</v>
      </c>
      <c r="G222" s="8">
        <v>9840</v>
      </c>
      <c r="H222" s="10">
        <f t="shared" si="13"/>
        <v>92441035.094999999</v>
      </c>
      <c r="I222" s="14">
        <f>VLOOKUP(C222,'Draw Data'!A:B,2,0)</f>
        <v>59616</v>
      </c>
      <c r="J222" s="10">
        <f t="shared" si="14"/>
        <v>1550.6078082226247</v>
      </c>
      <c r="K222" s="15">
        <f t="shared" si="15"/>
        <v>59.616</v>
      </c>
    </row>
    <row r="223" spans="2:11">
      <c r="B223" s="12">
        <f t="shared" si="12"/>
        <v>46113</v>
      </c>
      <c r="C223" s="7">
        <v>46120</v>
      </c>
      <c r="D223" s="8">
        <v>8361</v>
      </c>
      <c r="E223" s="9">
        <v>9503.6470000000008</v>
      </c>
      <c r="F223" s="8">
        <v>7300</v>
      </c>
      <c r="G223" s="8">
        <v>9080</v>
      </c>
      <c r="H223" s="10">
        <f t="shared" si="13"/>
        <v>93546792.567000002</v>
      </c>
      <c r="I223" s="14">
        <f>VLOOKUP(C223,'Draw Data'!A:B,2,0)</f>
        <v>58450</v>
      </c>
      <c r="J223" s="10">
        <f t="shared" si="14"/>
        <v>1600.4583843798118</v>
      </c>
      <c r="K223" s="15">
        <f t="shared" si="15"/>
        <v>58.45</v>
      </c>
    </row>
    <row r="224" spans="2:11">
      <c r="B224" s="12">
        <f t="shared" si="12"/>
        <v>46113</v>
      </c>
      <c r="C224" s="7">
        <v>46121</v>
      </c>
      <c r="D224" s="8">
        <v>7892</v>
      </c>
      <c r="E224" s="9">
        <v>9944.9599999999991</v>
      </c>
      <c r="F224" s="8">
        <v>7390</v>
      </c>
      <c r="G224" s="8">
        <v>9900</v>
      </c>
      <c r="H224" s="10">
        <f t="shared" si="13"/>
        <v>93355024.319999993</v>
      </c>
      <c r="I224" s="14">
        <f>VLOOKUP(C224,'Draw Data'!A:B,2,0)</f>
        <v>59674</v>
      </c>
      <c r="J224" s="10">
        <f t="shared" si="14"/>
        <v>1564.4170714213894</v>
      </c>
      <c r="K224" s="15">
        <f t="shared" si="15"/>
        <v>59.673999999999999</v>
      </c>
    </row>
    <row r="225" spans="2:11">
      <c r="B225" s="12">
        <f t="shared" si="12"/>
        <v>46113</v>
      </c>
      <c r="C225" s="7">
        <v>46122</v>
      </c>
      <c r="D225" s="8">
        <v>7646</v>
      </c>
      <c r="E225" s="9">
        <v>10116.788</v>
      </c>
      <c r="F225" s="8">
        <v>7260</v>
      </c>
      <c r="G225" s="8">
        <v>9890</v>
      </c>
      <c r="H225" s="10">
        <f t="shared" si="13"/>
        <v>92101961.048000008</v>
      </c>
      <c r="I225" s="14">
        <f>VLOOKUP(C225,'Draw Data'!A:B,2,0)</f>
        <v>59306</v>
      </c>
      <c r="J225" s="10">
        <f t="shared" si="14"/>
        <v>1552.9956673523759</v>
      </c>
      <c r="K225" s="15">
        <f t="shared" si="15"/>
        <v>59.305999999999997</v>
      </c>
    </row>
    <row r="226" spans="2:11">
      <c r="B226" s="12">
        <f t="shared" si="12"/>
        <v>46113</v>
      </c>
      <c r="C226" s="7">
        <v>46123</v>
      </c>
      <c r="D226" s="8">
        <v>7639</v>
      </c>
      <c r="E226" s="9">
        <v>10201.905000000001</v>
      </c>
      <c r="F226" s="8">
        <v>7340</v>
      </c>
      <c r="G226" s="8">
        <v>9980</v>
      </c>
      <c r="H226" s="10">
        <f t="shared" si="13"/>
        <v>92827552.295000002</v>
      </c>
      <c r="I226" s="14">
        <f>VLOOKUP(C226,'Draw Data'!A:B,2,0)</f>
        <v>60444</v>
      </c>
      <c r="J226" s="10">
        <f t="shared" si="14"/>
        <v>1535.7612384190325</v>
      </c>
      <c r="K226" s="15">
        <f t="shared" si="15"/>
        <v>60.444000000000003</v>
      </c>
    </row>
    <row r="227" spans="2:11">
      <c r="B227" s="12">
        <f t="shared" si="12"/>
        <v>46113</v>
      </c>
      <c r="C227" s="7">
        <v>46124</v>
      </c>
      <c r="D227" s="8">
        <v>7612</v>
      </c>
      <c r="E227" s="9">
        <v>10144.548000000001</v>
      </c>
      <c r="F227" s="8">
        <v>7330</v>
      </c>
      <c r="G227" s="8">
        <v>10510</v>
      </c>
      <c r="H227" s="10">
        <f t="shared" si="13"/>
        <v>92562699.376000002</v>
      </c>
      <c r="I227" s="14">
        <f>VLOOKUP(C227,'Draw Data'!A:B,2,0)</f>
        <v>61149</v>
      </c>
      <c r="J227" s="10">
        <f t="shared" si="14"/>
        <v>1513.7238446417766</v>
      </c>
      <c r="K227" s="15">
        <f t="shared" si="15"/>
        <v>61.149000000000001</v>
      </c>
    </row>
    <row r="228" spans="2:11">
      <c r="B228" s="12">
        <f t="shared" si="12"/>
        <v>46113</v>
      </c>
      <c r="C228" s="7">
        <v>46125</v>
      </c>
      <c r="D228" s="8">
        <v>7955</v>
      </c>
      <c r="E228" s="9">
        <v>9803.6350000000002</v>
      </c>
      <c r="F228" s="8">
        <v>7330</v>
      </c>
      <c r="G228" s="8">
        <v>10290</v>
      </c>
      <c r="H228" s="10">
        <f t="shared" si="13"/>
        <v>93141116.424999997</v>
      </c>
      <c r="I228" s="14">
        <f>VLOOKUP(C228,'Draw Data'!A:B,2,0)</f>
        <v>61488</v>
      </c>
      <c r="J228" s="10">
        <f t="shared" si="14"/>
        <v>1514.7852658242259</v>
      </c>
      <c r="K228" s="15">
        <f t="shared" si="15"/>
        <v>61.488</v>
      </c>
    </row>
    <row r="229" spans="2:11">
      <c r="B229" s="12">
        <f t="shared" si="12"/>
        <v>46113</v>
      </c>
      <c r="C229" s="7">
        <v>46126</v>
      </c>
      <c r="D229" s="8">
        <v>8976</v>
      </c>
      <c r="E229" s="9">
        <v>8821.7379999999994</v>
      </c>
      <c r="F229" s="8">
        <v>7400</v>
      </c>
      <c r="G229" s="8">
        <v>10060</v>
      </c>
      <c r="H229" s="10">
        <f t="shared" si="13"/>
        <v>94199520.287999988</v>
      </c>
      <c r="I229" s="14">
        <f>VLOOKUP(C229,'Draw Data'!A:B,2,0)</f>
        <v>60118</v>
      </c>
      <c r="J229" s="10">
        <f t="shared" si="14"/>
        <v>1566.9104143185068</v>
      </c>
      <c r="K229" s="15">
        <f t="shared" si="15"/>
        <v>60.118000000000002</v>
      </c>
    </row>
    <row r="230" spans="2:11">
      <c r="B230" s="12">
        <f t="shared" si="12"/>
        <v>46113</v>
      </c>
      <c r="C230" s="7">
        <v>46127</v>
      </c>
      <c r="D230" s="8">
        <v>8342</v>
      </c>
      <c r="E230" s="9">
        <v>9534.6620000000003</v>
      </c>
      <c r="F230" s="8">
        <v>7300</v>
      </c>
      <c r="G230" s="8">
        <v>8100</v>
      </c>
      <c r="H230" s="10">
        <f t="shared" si="13"/>
        <v>92782150.403999999</v>
      </c>
      <c r="I230" s="14">
        <f>VLOOKUP(C230,'Draw Data'!A:B,2,0)</f>
        <v>57310</v>
      </c>
      <c r="J230" s="10">
        <f t="shared" si="14"/>
        <v>1618.9521968940849</v>
      </c>
      <c r="K230" s="15">
        <f t="shared" si="15"/>
        <v>57.31</v>
      </c>
    </row>
    <row r="231" spans="2:11">
      <c r="B231" s="12">
        <f t="shared" si="12"/>
        <v>46113</v>
      </c>
      <c r="C231" s="7">
        <v>46128</v>
      </c>
      <c r="D231" s="8">
        <v>7938</v>
      </c>
      <c r="E231" s="9">
        <v>9860.4830000000002</v>
      </c>
      <c r="F231" s="8">
        <v>7320</v>
      </c>
      <c r="G231" s="8">
        <v>6770</v>
      </c>
      <c r="H231" s="10">
        <f t="shared" si="13"/>
        <v>90389914.054000005</v>
      </c>
      <c r="I231" s="14">
        <f>VLOOKUP(C231,'Draw Data'!A:B,2,0)</f>
        <v>54815</v>
      </c>
      <c r="J231" s="10">
        <f t="shared" si="14"/>
        <v>1648.9996178783181</v>
      </c>
      <c r="K231" s="15">
        <f t="shared" si="15"/>
        <v>54.814999999999998</v>
      </c>
    </row>
    <row r="232" spans="2:11">
      <c r="B232" s="12">
        <f t="shared" si="12"/>
        <v>46113</v>
      </c>
      <c r="C232" s="7">
        <v>46129</v>
      </c>
      <c r="D232" s="8">
        <v>8043</v>
      </c>
      <c r="E232" s="9">
        <v>9778.2839999999997</v>
      </c>
      <c r="F232" s="8">
        <v>7170</v>
      </c>
      <c r="G232" s="8">
        <v>6900</v>
      </c>
      <c r="H232" s="10">
        <f t="shared" si="13"/>
        <v>90746938.211999997</v>
      </c>
      <c r="I232" s="14">
        <f>VLOOKUP(C232,'Draw Data'!A:B,2,0)</f>
        <v>56568</v>
      </c>
      <c r="J232" s="10">
        <f t="shared" si="14"/>
        <v>1604.2097689859991</v>
      </c>
      <c r="K232" s="15">
        <f t="shared" si="15"/>
        <v>56.567999999999998</v>
      </c>
    </row>
    <row r="233" spans="2:11">
      <c r="B233" s="12">
        <f t="shared" si="12"/>
        <v>46113</v>
      </c>
      <c r="C233" s="7">
        <v>46130</v>
      </c>
      <c r="D233" s="8">
        <v>8012</v>
      </c>
      <c r="E233" s="9">
        <v>9748.9120000000003</v>
      </c>
      <c r="F233" s="8">
        <v>7340</v>
      </c>
      <c r="G233" s="8">
        <v>10912</v>
      </c>
      <c r="H233" s="10">
        <f t="shared" si="13"/>
        <v>93805002.944000006</v>
      </c>
      <c r="I233" s="14">
        <f>VLOOKUP(C233,'Draw Data'!A:B,2,0)</f>
        <v>61859</v>
      </c>
      <c r="J233" s="10">
        <f t="shared" si="14"/>
        <v>1516.4325796407961</v>
      </c>
      <c r="K233" s="15">
        <f t="shared" si="15"/>
        <v>61.859000000000002</v>
      </c>
    </row>
    <row r="234" spans="2:11">
      <c r="B234" s="12">
        <f t="shared" si="12"/>
        <v>46113</v>
      </c>
      <c r="C234" s="7">
        <v>46131</v>
      </c>
      <c r="D234" s="8">
        <v>7848</v>
      </c>
      <c r="E234" s="9">
        <v>9972.1409999999996</v>
      </c>
      <c r="F234" s="8">
        <v>7330</v>
      </c>
      <c r="G234" s="8">
        <v>10958</v>
      </c>
      <c r="H234" s="10">
        <f t="shared" si="13"/>
        <v>93989042.568000004</v>
      </c>
      <c r="I234" s="14">
        <f>VLOOKUP(C234,'Draw Data'!A:B,2,0)</f>
        <v>61185</v>
      </c>
      <c r="J234" s="10">
        <f t="shared" si="14"/>
        <v>1536.1451755822507</v>
      </c>
      <c r="K234" s="15">
        <f t="shared" si="15"/>
        <v>61.185000000000002</v>
      </c>
    </row>
    <row r="235" spans="2:11">
      <c r="B235" s="12">
        <f t="shared" si="12"/>
        <v>46113</v>
      </c>
      <c r="C235" s="7">
        <v>46132</v>
      </c>
      <c r="D235" s="8">
        <v>7880</v>
      </c>
      <c r="E235" s="9">
        <v>9969.5319999999992</v>
      </c>
      <c r="F235" s="8">
        <v>7400</v>
      </c>
      <c r="G235" s="8">
        <v>8670</v>
      </c>
      <c r="H235" s="10">
        <f t="shared" si="13"/>
        <v>92380112.159999996</v>
      </c>
      <c r="I235" s="14">
        <f>VLOOKUP(C235,'Draw Data'!A:B,2,0)</f>
        <v>57289</v>
      </c>
      <c r="J235" s="10">
        <f t="shared" si="14"/>
        <v>1612.5279226378536</v>
      </c>
      <c r="K235" s="15">
        <f t="shared" si="15"/>
        <v>57.289000000000001</v>
      </c>
    </row>
    <row r="236" spans="2:11">
      <c r="B236" s="12">
        <f t="shared" si="12"/>
        <v>46113</v>
      </c>
      <c r="C236" s="7">
        <v>46133</v>
      </c>
      <c r="D236" s="8">
        <v>7823</v>
      </c>
      <c r="E236" s="9">
        <v>9981.9159999999993</v>
      </c>
      <c r="F236" s="8">
        <v>7190</v>
      </c>
      <c r="G236" s="8">
        <v>8340</v>
      </c>
      <c r="H236" s="10">
        <f t="shared" si="13"/>
        <v>91444328.868000001</v>
      </c>
      <c r="I236" s="14">
        <f>VLOOKUP(C236,'Draw Data'!A:B,2,0)</f>
        <v>57332</v>
      </c>
      <c r="J236" s="10">
        <f t="shared" si="14"/>
        <v>1594.996317379474</v>
      </c>
      <c r="K236" s="15">
        <f t="shared" si="15"/>
        <v>57.332000000000001</v>
      </c>
    </row>
    <row r="237" spans="2:11">
      <c r="B237" s="12">
        <f t="shared" si="12"/>
        <v>46113</v>
      </c>
      <c r="C237" s="7">
        <v>46134</v>
      </c>
      <c r="D237" s="8">
        <v>8177</v>
      </c>
      <c r="E237" s="9">
        <v>9695.9349999999995</v>
      </c>
      <c r="F237" s="8">
        <v>7420</v>
      </c>
      <c r="G237" s="8">
        <v>8720</v>
      </c>
      <c r="H237" s="10">
        <f t="shared" si="13"/>
        <v>93164060.49499999</v>
      </c>
      <c r="I237" s="14">
        <f>VLOOKUP(C237,'Draw Data'!A:B,2,0)</f>
        <v>58133</v>
      </c>
      <c r="J237" s="10">
        <f t="shared" si="14"/>
        <v>1602.6019729757622</v>
      </c>
      <c r="K237" s="15">
        <f t="shared" si="15"/>
        <v>58.133000000000003</v>
      </c>
    </row>
    <row r="238" spans="2:11">
      <c r="B238" s="12">
        <f t="shared" si="12"/>
        <v>46113</v>
      </c>
      <c r="C238" s="7">
        <v>46135</v>
      </c>
      <c r="D238" s="8">
        <v>8101</v>
      </c>
      <c r="E238" s="9">
        <v>9738.9220000000005</v>
      </c>
      <c r="F238" s="8">
        <v>7290</v>
      </c>
      <c r="G238" s="8">
        <v>8270</v>
      </c>
      <c r="H238" s="10">
        <f t="shared" si="13"/>
        <v>92276607.122000009</v>
      </c>
      <c r="I238" s="14">
        <f>VLOOKUP(C238,'Draw Data'!A:B,2,0)</f>
        <v>56703</v>
      </c>
      <c r="J238" s="10">
        <f t="shared" si="14"/>
        <v>1627.3672843059451</v>
      </c>
      <c r="K238" s="15">
        <f t="shared" si="15"/>
        <v>56.703000000000003</v>
      </c>
    </row>
    <row r="239" spans="2:11">
      <c r="B239" s="12">
        <f t="shared" si="12"/>
        <v>46113</v>
      </c>
      <c r="C239" s="7">
        <v>46136</v>
      </c>
      <c r="D239" s="8">
        <v>7914</v>
      </c>
      <c r="E239" s="9">
        <v>9797.7060000000001</v>
      </c>
      <c r="F239" s="8">
        <v>7360</v>
      </c>
      <c r="G239" s="8">
        <v>8610</v>
      </c>
      <c r="H239" s="10">
        <f t="shared" si="13"/>
        <v>91273245.283999994</v>
      </c>
      <c r="I239" s="14">
        <f>VLOOKUP(C239,'Draw Data'!A:B,2,0)</f>
        <v>58393</v>
      </c>
      <c r="J239" s="10">
        <f t="shared" si="14"/>
        <v>1563.085391810662</v>
      </c>
      <c r="K239" s="15">
        <f t="shared" si="15"/>
        <v>58.393000000000001</v>
      </c>
    </row>
    <row r="240" spans="2:11">
      <c r="B240" s="12">
        <f t="shared" si="12"/>
        <v>46113</v>
      </c>
      <c r="C240" s="7">
        <v>46137</v>
      </c>
      <c r="D240" s="8">
        <v>7901</v>
      </c>
      <c r="E240" s="9">
        <v>9777.81</v>
      </c>
      <c r="F240" s="8">
        <v>7330</v>
      </c>
      <c r="G240" s="8">
        <v>8910</v>
      </c>
      <c r="H240" s="10">
        <f t="shared" si="13"/>
        <v>91220876.810000002</v>
      </c>
      <c r="I240" s="14">
        <f>VLOOKUP(C240,'Draw Data'!A:B,2,0)</f>
        <v>58128</v>
      </c>
      <c r="J240" s="10">
        <f t="shared" si="14"/>
        <v>1569.3104323217726</v>
      </c>
      <c r="K240" s="15">
        <f t="shared" si="15"/>
        <v>58.128</v>
      </c>
    </row>
    <row r="241" spans="2:11">
      <c r="B241" s="12">
        <f t="shared" si="12"/>
        <v>46113</v>
      </c>
      <c r="C241" s="7">
        <v>46138</v>
      </c>
      <c r="D241" s="8">
        <v>7321</v>
      </c>
      <c r="E241" s="9">
        <v>10194.349</v>
      </c>
      <c r="F241" s="8">
        <v>7270</v>
      </c>
      <c r="G241" s="8">
        <v>6370</v>
      </c>
      <c r="H241" s="10">
        <f t="shared" si="13"/>
        <v>86363229.028999999</v>
      </c>
      <c r="I241" s="14">
        <f>VLOOKUP(C241,'Draw Data'!A:B,2,0)</f>
        <v>50893</v>
      </c>
      <c r="J241" s="10">
        <f t="shared" si="14"/>
        <v>1696.9569298135302</v>
      </c>
      <c r="K241" s="15">
        <f t="shared" si="15"/>
        <v>50.893000000000001</v>
      </c>
    </row>
    <row r="242" spans="2:11">
      <c r="B242" s="12">
        <f t="shared" si="12"/>
        <v>46113</v>
      </c>
      <c r="C242" s="7">
        <v>46139</v>
      </c>
      <c r="D242" s="8">
        <v>7477</v>
      </c>
      <c r="E242" s="9">
        <v>10098.392</v>
      </c>
      <c r="F242" s="8">
        <v>7390</v>
      </c>
      <c r="G242" s="8">
        <v>6160</v>
      </c>
      <c r="H242" s="10">
        <f t="shared" si="13"/>
        <v>87158676.983999997</v>
      </c>
      <c r="I242" s="14">
        <f>VLOOKUP(C242,'Draw Data'!A:B,2,0)</f>
        <v>53069</v>
      </c>
      <c r="J242" s="10">
        <f t="shared" si="14"/>
        <v>1642.3651658030112</v>
      </c>
      <c r="K242" s="15">
        <f t="shared" si="15"/>
        <v>53.069000000000003</v>
      </c>
    </row>
    <row r="243" spans="2:11">
      <c r="B243" s="12">
        <f t="shared" si="12"/>
        <v>46113</v>
      </c>
      <c r="C243" s="7">
        <v>46140</v>
      </c>
      <c r="D243" s="8">
        <v>7567</v>
      </c>
      <c r="E243" s="9">
        <v>10115.852000000001</v>
      </c>
      <c r="F243" s="8">
        <v>7290</v>
      </c>
      <c r="G243" s="8">
        <v>7830</v>
      </c>
      <c r="H243" s="10">
        <f t="shared" si="13"/>
        <v>89549852.084000006</v>
      </c>
      <c r="I243" s="14">
        <f>VLOOKUP(C243,'Draw Data'!A:B,2,0)</f>
        <v>56031</v>
      </c>
      <c r="J243" s="10">
        <f t="shared" si="14"/>
        <v>1598.219772697257</v>
      </c>
      <c r="K243" s="15">
        <f t="shared" si="15"/>
        <v>56.030999999999999</v>
      </c>
    </row>
    <row r="244" spans="2:11">
      <c r="B244" s="12">
        <f t="shared" si="12"/>
        <v>46113</v>
      </c>
      <c r="C244" s="7">
        <v>46141</v>
      </c>
      <c r="D244" s="8">
        <v>7387</v>
      </c>
      <c r="E244" s="9">
        <v>10236.296</v>
      </c>
      <c r="F244" s="8">
        <v>7220</v>
      </c>
      <c r="G244" s="8">
        <v>8480</v>
      </c>
      <c r="H244" s="10">
        <f t="shared" si="13"/>
        <v>89117518.552000001</v>
      </c>
      <c r="I244" s="14">
        <f>VLOOKUP(C244,'Draw Data'!A:B,2,0)</f>
        <v>54811</v>
      </c>
      <c r="J244" s="10">
        <f t="shared" si="14"/>
        <v>1625.9057224279798</v>
      </c>
      <c r="K244" s="15">
        <f t="shared" si="15"/>
        <v>54.811</v>
      </c>
    </row>
    <row r="245" spans="2:11">
      <c r="B245" s="12">
        <f t="shared" si="12"/>
        <v>46113</v>
      </c>
      <c r="C245" s="7">
        <v>46142</v>
      </c>
      <c r="D245" s="8">
        <v>7591</v>
      </c>
      <c r="E245" s="9">
        <v>10136.824000000001</v>
      </c>
      <c r="F245" s="8">
        <v>7320</v>
      </c>
      <c r="G245" s="8">
        <v>8220</v>
      </c>
      <c r="H245" s="10">
        <f t="shared" si="13"/>
        <v>90313030.983999997</v>
      </c>
      <c r="I245" s="14">
        <f>VLOOKUP(C245,'Draw Data'!A:B,2,0)</f>
        <v>55468</v>
      </c>
      <c r="J245" s="10">
        <f t="shared" si="14"/>
        <v>1628.2006018605321</v>
      </c>
      <c r="K245" s="15">
        <f t="shared" si="15"/>
        <v>55.468000000000004</v>
      </c>
    </row>
    <row r="246" spans="2:11">
      <c r="B246" s="12">
        <f t="shared" si="12"/>
        <v>46143</v>
      </c>
      <c r="C246" s="7">
        <v>46143</v>
      </c>
      <c r="D246" s="8">
        <v>7938</v>
      </c>
      <c r="E246" s="9">
        <v>10318.253000000001</v>
      </c>
      <c r="F246" s="8">
        <v>7370</v>
      </c>
      <c r="G246" s="8">
        <v>6720</v>
      </c>
      <c r="H246" s="10">
        <f t="shared" si="13"/>
        <v>94023692.31400001</v>
      </c>
      <c r="I246" s="14">
        <f>VLOOKUP(C246,'Draw Data'!A:B,2,0)</f>
        <v>53744</v>
      </c>
      <c r="J246" s="10">
        <f t="shared" si="14"/>
        <v>1749.4732865808278</v>
      </c>
      <c r="K246" s="15">
        <f t="shared" si="15"/>
        <v>53.744</v>
      </c>
    </row>
    <row r="247" spans="2:11">
      <c r="B247" s="12">
        <f t="shared" si="12"/>
        <v>46143</v>
      </c>
      <c r="C247" s="7">
        <v>46144</v>
      </c>
      <c r="D247" s="8">
        <v>7825</v>
      </c>
      <c r="E247" s="9">
        <v>9715.9249999999993</v>
      </c>
      <c r="F247" s="8">
        <v>7300</v>
      </c>
      <c r="G247" s="8">
        <v>7000</v>
      </c>
      <c r="H247" s="10">
        <f t="shared" si="13"/>
        <v>88325113.125</v>
      </c>
      <c r="I247" s="14">
        <f>VLOOKUP(C247,'Draw Data'!A:B,2,0)</f>
        <v>52725</v>
      </c>
      <c r="J247" s="10">
        <f t="shared" si="14"/>
        <v>1675.2036628733997</v>
      </c>
      <c r="K247" s="15">
        <f t="shared" si="15"/>
        <v>52.725000000000001</v>
      </c>
    </row>
    <row r="248" spans="2:11">
      <c r="B248" s="12">
        <f t="shared" si="12"/>
        <v>46143</v>
      </c>
      <c r="C248" s="7">
        <v>46145</v>
      </c>
      <c r="D248" s="8">
        <v>7443</v>
      </c>
      <c r="E248" s="9">
        <v>10249.361999999999</v>
      </c>
      <c r="F248" s="8">
        <v>7330</v>
      </c>
      <c r="G248" s="8">
        <v>5500</v>
      </c>
      <c r="H248" s="10">
        <f t="shared" si="13"/>
        <v>87319801.365999997</v>
      </c>
      <c r="I248" s="14">
        <f>VLOOKUP(C248,'Draw Data'!A:B,2,0)</f>
        <v>52042</v>
      </c>
      <c r="J248" s="10">
        <f t="shared" si="14"/>
        <v>1677.8717452442258</v>
      </c>
      <c r="K248" s="15">
        <f t="shared" si="15"/>
        <v>52.042000000000002</v>
      </c>
    </row>
    <row r="249" spans="2:11">
      <c r="B249" s="12">
        <f t="shared" si="12"/>
        <v>46143</v>
      </c>
      <c r="C249" s="7">
        <v>46146</v>
      </c>
      <c r="D249" s="8">
        <v>7450</v>
      </c>
      <c r="E249" s="9">
        <v>10298.74</v>
      </c>
      <c r="F249" s="8">
        <v>7350</v>
      </c>
      <c r="G249" s="8">
        <v>5210</v>
      </c>
      <c r="H249" s="10">
        <f t="shared" si="13"/>
        <v>87527213</v>
      </c>
      <c r="I249" s="14">
        <f>VLOOKUP(C249,'Draw Data'!A:B,2,0)</f>
        <v>52761</v>
      </c>
      <c r="J249" s="10">
        <f t="shared" si="14"/>
        <v>1658.9377191486135</v>
      </c>
      <c r="K249" s="15">
        <f t="shared" si="15"/>
        <v>52.761000000000003</v>
      </c>
    </row>
    <row r="250" spans="2:11">
      <c r="B250" s="12">
        <f t="shared" si="12"/>
        <v>46143</v>
      </c>
      <c r="C250" s="7">
        <v>46147</v>
      </c>
      <c r="D250" s="8">
        <v>7522</v>
      </c>
      <c r="E250" s="9">
        <v>10213.421</v>
      </c>
      <c r="F250" s="8">
        <v>7170</v>
      </c>
      <c r="G250" s="8">
        <v>8590</v>
      </c>
      <c r="H250" s="10">
        <f t="shared" si="13"/>
        <v>90378952.762000009</v>
      </c>
      <c r="I250" s="14">
        <f>VLOOKUP(C250,'Draw Data'!A:B,2,0)</f>
        <v>58990</v>
      </c>
      <c r="J250" s="10">
        <f t="shared" si="14"/>
        <v>1532.1063360230548</v>
      </c>
      <c r="K250" s="15">
        <f t="shared" si="15"/>
        <v>58.99</v>
      </c>
    </row>
    <row r="251" spans="2:11">
      <c r="B251" s="12">
        <f t="shared" si="12"/>
        <v>46143</v>
      </c>
      <c r="C251" s="7">
        <v>46148</v>
      </c>
      <c r="D251" s="8">
        <v>7441</v>
      </c>
      <c r="E251" s="9">
        <v>10285.834999999999</v>
      </c>
      <c r="F251" s="8">
        <v>7330</v>
      </c>
      <c r="G251" s="8">
        <v>7740</v>
      </c>
      <c r="H251" s="10">
        <f t="shared" si="13"/>
        <v>89497098.234999999</v>
      </c>
      <c r="I251" s="14">
        <f>VLOOKUP(C251,'Draw Data'!A:B,2,0)</f>
        <v>56583</v>
      </c>
      <c r="J251" s="10">
        <f t="shared" si="14"/>
        <v>1581.6958845412933</v>
      </c>
      <c r="K251" s="15">
        <f t="shared" si="15"/>
        <v>56.582999999999998</v>
      </c>
    </row>
    <row r="252" spans="2:11">
      <c r="B252" s="12">
        <f t="shared" si="12"/>
        <v>46143</v>
      </c>
      <c r="C252" s="7">
        <v>46149</v>
      </c>
      <c r="D252" s="8">
        <v>7453</v>
      </c>
      <c r="E252" s="9">
        <v>10283.31</v>
      </c>
      <c r="F252" s="8">
        <v>7340</v>
      </c>
      <c r="G252" s="8">
        <v>8730</v>
      </c>
      <c r="H252" s="10">
        <f t="shared" si="13"/>
        <v>90461709.429999992</v>
      </c>
      <c r="I252" s="14">
        <f>VLOOKUP(C252,'Draw Data'!A:B,2,0)</f>
        <v>58009</v>
      </c>
      <c r="J252" s="10">
        <f t="shared" si="14"/>
        <v>1559.4426628626591</v>
      </c>
      <c r="K252" s="15">
        <f t="shared" si="15"/>
        <v>58.009</v>
      </c>
    </row>
    <row r="253" spans="2:11">
      <c r="B253" s="12">
        <f t="shared" si="12"/>
        <v>46143</v>
      </c>
      <c r="C253" s="7">
        <v>46150</v>
      </c>
      <c r="D253" s="8">
        <v>7508</v>
      </c>
      <c r="E253" s="9">
        <v>10260.550999999999</v>
      </c>
      <c r="F253" s="8">
        <v>7310</v>
      </c>
      <c r="G253" s="8">
        <v>9530</v>
      </c>
      <c r="H253" s="10">
        <f t="shared" si="13"/>
        <v>91518616.907999992</v>
      </c>
      <c r="I253" s="14">
        <f>VLOOKUP(C253,'Draw Data'!A:B,2,0)</f>
        <v>60134</v>
      </c>
      <c r="J253" s="10">
        <f t="shared" si="14"/>
        <v>1521.9113464595735</v>
      </c>
      <c r="K253" s="15">
        <f t="shared" si="15"/>
        <v>60.134</v>
      </c>
    </row>
    <row r="254" spans="2:11">
      <c r="B254" s="12">
        <f t="shared" si="12"/>
        <v>46143</v>
      </c>
      <c r="C254" s="7">
        <v>46151</v>
      </c>
      <c r="D254" s="8">
        <v>7570</v>
      </c>
      <c r="E254" s="9">
        <v>10204.629000000001</v>
      </c>
      <c r="F254" s="8">
        <v>7340</v>
      </c>
      <c r="G254" s="8">
        <v>9510</v>
      </c>
      <c r="H254" s="10">
        <f t="shared" si="13"/>
        <v>91740041.530000001</v>
      </c>
      <c r="I254" s="14">
        <f>VLOOKUP(C254,'Draw Data'!A:B,2,0)</f>
        <v>60247</v>
      </c>
      <c r="J254" s="10">
        <f t="shared" si="14"/>
        <v>1522.7321116404137</v>
      </c>
      <c r="K254" s="15">
        <f t="shared" si="15"/>
        <v>60.247</v>
      </c>
    </row>
    <row r="255" spans="2:11">
      <c r="B255" s="12">
        <f t="shared" si="12"/>
        <v>46143</v>
      </c>
      <c r="C255" s="7">
        <v>46152</v>
      </c>
      <c r="D255" s="8">
        <v>7553</v>
      </c>
      <c r="E255" s="9">
        <v>10264.701999999999</v>
      </c>
      <c r="F255" s="8">
        <v>7320</v>
      </c>
      <c r="G255" s="8">
        <v>9660</v>
      </c>
      <c r="H255" s="10">
        <f t="shared" si="13"/>
        <v>92132094.206</v>
      </c>
      <c r="I255" s="14">
        <f>VLOOKUP(C255,'Draw Data'!A:B,2,0)</f>
        <v>60114</v>
      </c>
      <c r="J255" s="10">
        <f t="shared" si="14"/>
        <v>1532.6229198855508</v>
      </c>
      <c r="K255" s="15">
        <f t="shared" si="15"/>
        <v>60.113999999999997</v>
      </c>
    </row>
    <row r="256" spans="2:11">
      <c r="B256" s="12">
        <f t="shared" si="12"/>
        <v>46143</v>
      </c>
      <c r="C256" s="7">
        <v>46153</v>
      </c>
      <c r="D256" s="8">
        <v>7738</v>
      </c>
      <c r="E256" s="9">
        <v>10097.857</v>
      </c>
      <c r="F256" s="8">
        <v>7330</v>
      </c>
      <c r="G256" s="8">
        <v>9940</v>
      </c>
      <c r="H256" s="10">
        <f t="shared" si="13"/>
        <v>92989417.466000006</v>
      </c>
      <c r="I256" s="14">
        <f>VLOOKUP(C256,'Draw Data'!A:B,2,0)</f>
        <v>61198</v>
      </c>
      <c r="J256" s="10">
        <f t="shared" si="14"/>
        <v>1519.4845822739305</v>
      </c>
      <c r="K256" s="15">
        <f t="shared" si="15"/>
        <v>61.198</v>
      </c>
    </row>
    <row r="257" spans="2:11">
      <c r="B257" s="12">
        <f t="shared" si="12"/>
        <v>46143</v>
      </c>
      <c r="C257" s="7">
        <v>46154</v>
      </c>
      <c r="D257" s="8">
        <v>7700</v>
      </c>
      <c r="E257" s="9">
        <v>10118.089</v>
      </c>
      <c r="F257" s="8">
        <v>7340</v>
      </c>
      <c r="G257" s="8">
        <v>10440</v>
      </c>
      <c r="H257" s="10">
        <f t="shared" si="13"/>
        <v>93200085.299999997</v>
      </c>
      <c r="I257" s="14">
        <f>VLOOKUP(C257,'Draw Data'!A:B,2,0)</f>
        <v>61898</v>
      </c>
      <c r="J257" s="10">
        <f t="shared" si="14"/>
        <v>1505.7043087014119</v>
      </c>
      <c r="K257" s="15">
        <f t="shared" si="15"/>
        <v>61.898000000000003</v>
      </c>
    </row>
    <row r="258" spans="2:11">
      <c r="B258" s="12">
        <f t="shared" si="12"/>
        <v>46143</v>
      </c>
      <c r="C258" s="7">
        <v>46155</v>
      </c>
      <c r="D258" s="8">
        <v>7620</v>
      </c>
      <c r="E258" s="9">
        <v>10216.306</v>
      </c>
      <c r="F258" s="8">
        <v>7330</v>
      </c>
      <c r="G258" s="8">
        <v>10590</v>
      </c>
      <c r="H258" s="10">
        <f t="shared" si="13"/>
        <v>93259451.719999999</v>
      </c>
      <c r="I258" s="14">
        <f>VLOOKUP(C258,'Draw Data'!A:B,2,0)</f>
        <v>61667</v>
      </c>
      <c r="J258" s="10">
        <f t="shared" si="14"/>
        <v>1512.3072586634667</v>
      </c>
      <c r="K258" s="15">
        <f t="shared" si="15"/>
        <v>61.667000000000002</v>
      </c>
    </row>
    <row r="259" spans="2:11">
      <c r="B259" s="12">
        <f t="shared" si="12"/>
        <v>46143</v>
      </c>
      <c r="C259" s="7">
        <v>46156</v>
      </c>
      <c r="D259" s="8">
        <v>7788</v>
      </c>
      <c r="E259" s="9">
        <v>10003.258</v>
      </c>
      <c r="F259" s="8">
        <v>7350</v>
      </c>
      <c r="G259" s="8">
        <v>10960</v>
      </c>
      <c r="H259" s="10">
        <f t="shared" si="13"/>
        <v>93651973.304000005</v>
      </c>
      <c r="I259" s="14">
        <f>VLOOKUP(C259,'Draw Data'!A:B,2,0)</f>
        <v>61200</v>
      </c>
      <c r="J259" s="10">
        <f t="shared" si="14"/>
        <v>1530.2610016993465</v>
      </c>
      <c r="K259" s="15">
        <f t="shared" si="15"/>
        <v>61.2</v>
      </c>
    </row>
    <row r="260" spans="2:11">
      <c r="B260" s="12">
        <f t="shared" si="12"/>
        <v>46143</v>
      </c>
      <c r="C260" s="7">
        <v>46157</v>
      </c>
      <c r="D260" s="8">
        <v>7602</v>
      </c>
      <c r="E260" s="9">
        <v>10265.188</v>
      </c>
      <c r="F260" s="8">
        <v>7320</v>
      </c>
      <c r="G260" s="8">
        <v>10850</v>
      </c>
      <c r="H260" s="10">
        <f t="shared" si="13"/>
        <v>93662159.175999999</v>
      </c>
      <c r="I260" s="14">
        <f>VLOOKUP(C260,'Draw Data'!A:B,2,0)</f>
        <v>61209</v>
      </c>
      <c r="J260" s="10">
        <f t="shared" si="14"/>
        <v>1530.2024077504941</v>
      </c>
      <c r="K260" s="15">
        <f t="shared" si="15"/>
        <v>61.209000000000003</v>
      </c>
    </row>
    <row r="261" spans="2:11">
      <c r="B261" s="12">
        <f t="shared" ref="B261:B324" si="16">DATE(YEAR(C261),MONTH(C261),1)</f>
        <v>46143</v>
      </c>
      <c r="C261" s="7">
        <v>46158</v>
      </c>
      <c r="D261" s="8">
        <v>7626</v>
      </c>
      <c r="E261" s="9">
        <v>10292.575000000001</v>
      </c>
      <c r="F261" s="8">
        <v>7370</v>
      </c>
      <c r="G261" s="8">
        <v>9870</v>
      </c>
      <c r="H261" s="10">
        <f t="shared" ref="H261:H324" si="17">((D261 *(E261))+ ((F261+G261)*860))</f>
        <v>93317576.950000003</v>
      </c>
      <c r="I261" s="14">
        <f>VLOOKUP(C261,'Draw Data'!A:B,2,0)</f>
        <v>60136</v>
      </c>
      <c r="J261" s="10">
        <f t="shared" ref="J261:J324" si="18">H261/I261</f>
        <v>1551.7755911600373</v>
      </c>
      <c r="K261" s="15">
        <f t="shared" ref="K261:K324" si="19">I261/1000</f>
        <v>60.136000000000003</v>
      </c>
    </row>
    <row r="262" spans="2:11">
      <c r="B262" s="12">
        <f t="shared" si="16"/>
        <v>46143</v>
      </c>
      <c r="C262" s="7">
        <v>46159</v>
      </c>
      <c r="D262" s="8">
        <v>7536</v>
      </c>
      <c r="E262" s="9">
        <v>10430.813</v>
      </c>
      <c r="F262" s="8">
        <v>7220</v>
      </c>
      <c r="G262" s="8">
        <v>8510</v>
      </c>
      <c r="H262" s="10">
        <f t="shared" si="17"/>
        <v>92134406.768000007</v>
      </c>
      <c r="I262" s="14">
        <f>VLOOKUP(C262,'Draw Data'!A:B,2,0)</f>
        <v>59620</v>
      </c>
      <c r="J262" s="10">
        <f t="shared" si="18"/>
        <v>1545.3607307614895</v>
      </c>
      <c r="K262" s="15">
        <f t="shared" si="19"/>
        <v>59.62</v>
      </c>
    </row>
    <row r="263" spans="2:11">
      <c r="B263" s="12">
        <f t="shared" si="16"/>
        <v>46143</v>
      </c>
      <c r="C263" s="7">
        <v>46160</v>
      </c>
      <c r="D263" s="8">
        <v>7771</v>
      </c>
      <c r="E263" s="9">
        <v>10202.598</v>
      </c>
      <c r="F263" s="8">
        <v>7330</v>
      </c>
      <c r="G263" s="8">
        <v>9180</v>
      </c>
      <c r="H263" s="10">
        <f t="shared" si="17"/>
        <v>93482989.057999998</v>
      </c>
      <c r="I263" s="14">
        <f>VLOOKUP(C263,'Draw Data'!A:B,2,0)</f>
        <v>61239</v>
      </c>
      <c r="J263" s="10">
        <f t="shared" si="18"/>
        <v>1526.5270343735201</v>
      </c>
      <c r="K263" s="15">
        <f t="shared" si="19"/>
        <v>61.238999999999997</v>
      </c>
    </row>
    <row r="264" spans="2:11">
      <c r="B264" s="12">
        <f t="shared" si="16"/>
        <v>46143</v>
      </c>
      <c r="C264" s="7">
        <v>46161</v>
      </c>
      <c r="D264" s="8">
        <v>7590</v>
      </c>
      <c r="E264" s="9">
        <v>10418.030000000001</v>
      </c>
      <c r="F264" s="8">
        <v>7320</v>
      </c>
      <c r="G264" s="8">
        <v>7980</v>
      </c>
      <c r="H264" s="10">
        <f t="shared" si="17"/>
        <v>92230847.700000003</v>
      </c>
      <c r="I264" s="14">
        <f>VLOOKUP(C264,'Draw Data'!A:B,2,0)</f>
        <v>57836</v>
      </c>
      <c r="J264" s="10">
        <f t="shared" si="18"/>
        <v>1594.6961702054084</v>
      </c>
      <c r="K264" s="15">
        <f t="shared" si="19"/>
        <v>57.835999999999999</v>
      </c>
    </row>
    <row r="265" spans="2:11">
      <c r="B265" s="12">
        <f t="shared" si="16"/>
        <v>46143</v>
      </c>
      <c r="C265" s="7">
        <v>46162</v>
      </c>
      <c r="D265" s="8">
        <v>7513</v>
      </c>
      <c r="E265" s="9">
        <v>10377.645</v>
      </c>
      <c r="F265" s="8">
        <v>7340</v>
      </c>
      <c r="G265" s="8">
        <v>9070</v>
      </c>
      <c r="H265" s="10">
        <f t="shared" si="17"/>
        <v>92079846.885000005</v>
      </c>
      <c r="I265" s="14">
        <f>VLOOKUP(C265,'Draw Data'!A:B,2,0)</f>
        <v>59169</v>
      </c>
      <c r="J265" s="10">
        <f t="shared" si="18"/>
        <v>1556.217730314861</v>
      </c>
      <c r="K265" s="15">
        <f t="shared" si="19"/>
        <v>59.168999999999997</v>
      </c>
    </row>
    <row r="266" spans="2:11">
      <c r="B266" s="12">
        <f t="shared" si="16"/>
        <v>46143</v>
      </c>
      <c r="C266" s="7">
        <v>46163</v>
      </c>
      <c r="D266" s="8">
        <v>7616</v>
      </c>
      <c r="E266" s="9">
        <v>10306.317999999999</v>
      </c>
      <c r="F266" s="8">
        <v>7400</v>
      </c>
      <c r="G266" s="8">
        <v>8720</v>
      </c>
      <c r="H266" s="10">
        <f t="shared" si="17"/>
        <v>92356117.887999997</v>
      </c>
      <c r="I266" s="14">
        <f>VLOOKUP(C266,'Draw Data'!A:B,2,0)</f>
        <v>60393</v>
      </c>
      <c r="J266" s="10">
        <f t="shared" si="18"/>
        <v>1529.2520306658055</v>
      </c>
      <c r="K266" s="15">
        <f t="shared" si="19"/>
        <v>60.393000000000001</v>
      </c>
    </row>
    <row r="267" spans="2:11">
      <c r="B267" s="12">
        <f t="shared" si="16"/>
        <v>46143</v>
      </c>
      <c r="C267" s="7">
        <v>46164</v>
      </c>
      <c r="D267" s="8">
        <v>7640</v>
      </c>
      <c r="E267" s="9">
        <v>10243.084000000001</v>
      </c>
      <c r="F267" s="8">
        <v>7300</v>
      </c>
      <c r="G267" s="8">
        <v>8670</v>
      </c>
      <c r="H267" s="10">
        <f t="shared" si="17"/>
        <v>91991361.760000005</v>
      </c>
      <c r="I267" s="14">
        <f>VLOOKUP(C267,'Draw Data'!A:B,2,0)</f>
        <v>58783</v>
      </c>
      <c r="J267" s="10">
        <f t="shared" si="18"/>
        <v>1564.9313876460883</v>
      </c>
      <c r="K267" s="15">
        <f t="shared" si="19"/>
        <v>58.783000000000001</v>
      </c>
    </row>
    <row r="268" spans="2:11">
      <c r="B268" s="12">
        <f t="shared" si="16"/>
        <v>46143</v>
      </c>
      <c r="C268" s="7">
        <v>46165</v>
      </c>
      <c r="D268" s="8">
        <v>7540</v>
      </c>
      <c r="E268" s="9">
        <v>10212.043</v>
      </c>
      <c r="F268" s="8">
        <v>7350</v>
      </c>
      <c r="G268" s="8">
        <v>9920</v>
      </c>
      <c r="H268" s="10">
        <f t="shared" si="17"/>
        <v>91851004.219999999</v>
      </c>
      <c r="I268" s="14">
        <f>VLOOKUP(C268,'Draw Data'!A:B,2,0)</f>
        <v>60617</v>
      </c>
      <c r="J268" s="10">
        <f t="shared" si="18"/>
        <v>1515.2680637444942</v>
      </c>
      <c r="K268" s="15">
        <f t="shared" si="19"/>
        <v>60.616999999999997</v>
      </c>
    </row>
    <row r="269" spans="2:11">
      <c r="B269" s="12">
        <f t="shared" si="16"/>
        <v>46143</v>
      </c>
      <c r="C269" s="7">
        <v>46166</v>
      </c>
      <c r="D269" s="8">
        <v>7563</v>
      </c>
      <c r="E269" s="9">
        <v>10162.880999999999</v>
      </c>
      <c r="F269" s="8">
        <v>7330</v>
      </c>
      <c r="G269" s="8">
        <v>10100</v>
      </c>
      <c r="H269" s="10">
        <f t="shared" si="17"/>
        <v>91851669.002999991</v>
      </c>
      <c r="I269" s="14">
        <f>VLOOKUP(C269,'Draw Data'!A:B,2,0)</f>
        <v>59490</v>
      </c>
      <c r="J269" s="10">
        <f t="shared" si="18"/>
        <v>1543.985022743318</v>
      </c>
      <c r="K269" s="15">
        <f t="shared" si="19"/>
        <v>59.49</v>
      </c>
    </row>
    <row r="270" spans="2:11">
      <c r="B270" s="12">
        <f t="shared" si="16"/>
        <v>46143</v>
      </c>
      <c r="C270" s="7">
        <v>46167</v>
      </c>
      <c r="D270" s="8">
        <v>7795</v>
      </c>
      <c r="E270" s="9">
        <v>9948.56</v>
      </c>
      <c r="F270" s="8">
        <v>7260</v>
      </c>
      <c r="G270" s="8">
        <v>10310</v>
      </c>
      <c r="H270" s="10">
        <f t="shared" si="17"/>
        <v>92659225.200000003</v>
      </c>
      <c r="I270" s="14">
        <f>VLOOKUP(C270,'Draw Data'!A:B,2,0)</f>
        <v>60934</v>
      </c>
      <c r="J270" s="10">
        <f t="shared" si="18"/>
        <v>1520.6489841467819</v>
      </c>
      <c r="K270" s="15">
        <f t="shared" si="19"/>
        <v>60.933999999999997</v>
      </c>
    </row>
    <row r="271" spans="2:11">
      <c r="B271" s="12">
        <f t="shared" si="16"/>
        <v>46143</v>
      </c>
      <c r="C271" s="7">
        <v>46168</v>
      </c>
      <c r="D271" s="8">
        <v>7897</v>
      </c>
      <c r="E271" s="9">
        <v>10042.271000000001</v>
      </c>
      <c r="F271" s="8">
        <v>7380</v>
      </c>
      <c r="G271" s="8">
        <v>10580</v>
      </c>
      <c r="H271" s="10">
        <f t="shared" si="17"/>
        <v>94749414.087000012</v>
      </c>
      <c r="I271" s="14">
        <f>VLOOKUP(C271,'Draw Data'!A:B,2,0)</f>
        <v>61684</v>
      </c>
      <c r="J271" s="10">
        <f t="shared" si="18"/>
        <v>1536.0452319402116</v>
      </c>
      <c r="K271" s="15">
        <f t="shared" si="19"/>
        <v>61.683999999999997</v>
      </c>
    </row>
    <row r="272" spans="2:11">
      <c r="B272" s="12">
        <f t="shared" si="16"/>
        <v>46143</v>
      </c>
      <c r="C272" s="7">
        <v>46169</v>
      </c>
      <c r="D272" s="8">
        <v>7734</v>
      </c>
      <c r="E272" s="9">
        <v>10045.431</v>
      </c>
      <c r="F272" s="8">
        <v>7280</v>
      </c>
      <c r="G272" s="8">
        <v>10270</v>
      </c>
      <c r="H272" s="10">
        <f t="shared" si="17"/>
        <v>92784363.354000002</v>
      </c>
      <c r="I272" s="14">
        <f>VLOOKUP(C272,'Draw Data'!A:B,2,0)</f>
        <v>61254</v>
      </c>
      <c r="J272" s="10">
        <f t="shared" si="18"/>
        <v>1514.7478263297091</v>
      </c>
      <c r="K272" s="15">
        <f t="shared" si="19"/>
        <v>61.253999999999998</v>
      </c>
    </row>
    <row r="273" spans="2:11">
      <c r="B273" s="12">
        <f t="shared" si="16"/>
        <v>46143</v>
      </c>
      <c r="C273" s="7">
        <v>46170</v>
      </c>
      <c r="D273" s="8">
        <v>7718</v>
      </c>
      <c r="E273" s="9">
        <v>9989.518</v>
      </c>
      <c r="F273" s="8">
        <v>7340</v>
      </c>
      <c r="G273" s="8">
        <v>10750</v>
      </c>
      <c r="H273" s="10">
        <f t="shared" si="17"/>
        <v>92656499.923999995</v>
      </c>
      <c r="I273" s="14">
        <f>VLOOKUP(C273,'Draw Data'!A:B,2,0)</f>
        <v>59934</v>
      </c>
      <c r="J273" s="10">
        <f t="shared" si="18"/>
        <v>1545.9755718623819</v>
      </c>
      <c r="K273" s="15">
        <f t="shared" si="19"/>
        <v>59.933999999999997</v>
      </c>
    </row>
    <row r="274" spans="2:11">
      <c r="B274" s="12">
        <f t="shared" si="16"/>
        <v>46143</v>
      </c>
      <c r="C274" s="7">
        <v>46171</v>
      </c>
      <c r="D274" s="8">
        <v>7517</v>
      </c>
      <c r="E274" s="9">
        <v>10159.321</v>
      </c>
      <c r="F274" s="8">
        <v>7370</v>
      </c>
      <c r="G274" s="8">
        <v>10670</v>
      </c>
      <c r="H274" s="10">
        <f t="shared" si="17"/>
        <v>91882015.957000002</v>
      </c>
      <c r="I274" s="14">
        <f>VLOOKUP(C274,'Draw Data'!A:B,2,0)</f>
        <v>59526</v>
      </c>
      <c r="J274" s="10">
        <f t="shared" si="18"/>
        <v>1543.561065030407</v>
      </c>
      <c r="K274" s="15">
        <f t="shared" si="19"/>
        <v>59.526000000000003</v>
      </c>
    </row>
    <row r="275" spans="2:11">
      <c r="B275" s="12">
        <f t="shared" si="16"/>
        <v>46143</v>
      </c>
      <c r="C275" s="7">
        <v>46172</v>
      </c>
      <c r="D275" s="8">
        <v>7357</v>
      </c>
      <c r="E275" s="9">
        <v>10219.540000000001</v>
      </c>
      <c r="F275" s="8">
        <v>7030</v>
      </c>
      <c r="G275" s="8">
        <v>9910</v>
      </c>
      <c r="H275" s="10">
        <f t="shared" si="17"/>
        <v>89753555.780000001</v>
      </c>
      <c r="I275" s="14">
        <f>VLOOKUP(C275,'Draw Data'!A:B,2,0)</f>
        <v>57549</v>
      </c>
      <c r="J275" s="10">
        <f t="shared" si="18"/>
        <v>1559.6023524301031</v>
      </c>
      <c r="K275" s="15">
        <f t="shared" si="19"/>
        <v>57.548999999999999</v>
      </c>
    </row>
    <row r="276" spans="2:11">
      <c r="B276" s="12">
        <f t="shared" si="16"/>
        <v>46143</v>
      </c>
      <c r="C276" s="7">
        <v>46173</v>
      </c>
      <c r="D276" s="8">
        <v>7565</v>
      </c>
      <c r="E276" s="9">
        <v>10106.688</v>
      </c>
      <c r="F276" s="8">
        <v>7380</v>
      </c>
      <c r="G276" s="8">
        <v>9100</v>
      </c>
      <c r="H276" s="10">
        <f t="shared" si="17"/>
        <v>90629894.719999999</v>
      </c>
      <c r="I276" s="14">
        <f>VLOOKUP(C276,'Draw Data'!A:B,2,0)</f>
        <v>57230</v>
      </c>
      <c r="J276" s="10">
        <f t="shared" si="18"/>
        <v>1583.6081551633758</v>
      </c>
      <c r="K276" s="15">
        <f t="shared" si="19"/>
        <v>57.23</v>
      </c>
    </row>
    <row r="277" spans="2:11">
      <c r="B277" s="12">
        <f t="shared" si="16"/>
        <v>46174</v>
      </c>
      <c r="C277" s="7">
        <v>46174</v>
      </c>
      <c r="D277" s="8">
        <v>8064</v>
      </c>
      <c r="E277" s="9">
        <v>9522.9570000000003</v>
      </c>
      <c r="F277" s="8">
        <v>7370</v>
      </c>
      <c r="G277" s="8">
        <v>9000</v>
      </c>
      <c r="H277" s="10">
        <f t="shared" si="17"/>
        <v>90871325.247999996</v>
      </c>
      <c r="I277" s="14">
        <f>VLOOKUP(C277,'Draw Data'!A:B,2,0)</f>
        <v>57929</v>
      </c>
      <c r="J277" s="10">
        <f t="shared" si="18"/>
        <v>1568.6672521189732</v>
      </c>
      <c r="K277" s="15">
        <f t="shared" si="19"/>
        <v>57.929000000000002</v>
      </c>
    </row>
    <row r="278" spans="2:11">
      <c r="B278" s="12">
        <f t="shared" si="16"/>
        <v>46174</v>
      </c>
      <c r="C278" s="7">
        <v>46175</v>
      </c>
      <c r="D278" s="8">
        <v>8197</v>
      </c>
      <c r="E278" s="9">
        <v>9506.9380000000001</v>
      </c>
      <c r="F278" s="8">
        <v>7280</v>
      </c>
      <c r="G278" s="8">
        <v>9260</v>
      </c>
      <c r="H278" s="10">
        <f t="shared" si="17"/>
        <v>92152770.785999998</v>
      </c>
      <c r="I278" s="14">
        <f>VLOOKUP(C278,'Draw Data'!A:B,2,0)</f>
        <v>58346</v>
      </c>
      <c r="J278" s="10">
        <f t="shared" si="18"/>
        <v>1579.4188253864875</v>
      </c>
      <c r="K278" s="15">
        <f t="shared" si="19"/>
        <v>58.345999999999997</v>
      </c>
    </row>
    <row r="279" spans="2:11">
      <c r="B279" s="12">
        <f t="shared" si="16"/>
        <v>46174</v>
      </c>
      <c r="C279" s="7">
        <v>46176</v>
      </c>
      <c r="D279" s="8">
        <v>7801</v>
      </c>
      <c r="E279" s="9">
        <v>9955.8169999999991</v>
      </c>
      <c r="F279" s="8">
        <v>7350</v>
      </c>
      <c r="G279" s="8">
        <v>9230</v>
      </c>
      <c r="H279" s="10">
        <f t="shared" si="17"/>
        <v>91924128.416999996</v>
      </c>
      <c r="I279" s="14">
        <f>VLOOKUP(C279,'Draw Data'!A:B,2,0)</f>
        <v>57807</v>
      </c>
      <c r="J279" s="10">
        <f t="shared" si="18"/>
        <v>1590.1902609891536</v>
      </c>
      <c r="K279" s="15">
        <f t="shared" si="19"/>
        <v>57.807000000000002</v>
      </c>
    </row>
    <row r="280" spans="2:11">
      <c r="B280" s="12">
        <f t="shared" si="16"/>
        <v>46174</v>
      </c>
      <c r="C280" s="7">
        <v>46177</v>
      </c>
      <c r="D280" s="8">
        <v>7606</v>
      </c>
      <c r="E280" s="9">
        <v>10136.691999999999</v>
      </c>
      <c r="F280" s="8">
        <v>7280</v>
      </c>
      <c r="G280" s="8">
        <v>7700</v>
      </c>
      <c r="H280" s="10">
        <f t="shared" si="17"/>
        <v>89982479.351999998</v>
      </c>
      <c r="I280" s="14">
        <f>VLOOKUP(C280,'Draw Data'!A:B,2,0)</f>
        <v>55536</v>
      </c>
      <c r="J280" s="10">
        <f t="shared" si="18"/>
        <v>1620.2549580812445</v>
      </c>
      <c r="K280" s="15">
        <f t="shared" si="19"/>
        <v>55.536000000000001</v>
      </c>
    </row>
    <row r="281" spans="2:11">
      <c r="B281" s="12">
        <f t="shared" si="16"/>
        <v>46174</v>
      </c>
      <c r="C281" s="7">
        <v>46178</v>
      </c>
      <c r="D281" s="8">
        <v>7663</v>
      </c>
      <c r="E281" s="9">
        <v>10219.575000000001</v>
      </c>
      <c r="F281" s="8">
        <v>7350</v>
      </c>
      <c r="G281" s="8">
        <v>7270</v>
      </c>
      <c r="H281" s="10">
        <f t="shared" si="17"/>
        <v>90885803.225000009</v>
      </c>
      <c r="I281" s="14">
        <f>VLOOKUP(C281,'Draw Data'!A:B,2,0)</f>
        <v>55573</v>
      </c>
      <c r="J281" s="10">
        <f t="shared" si="18"/>
        <v>1635.4309327371207</v>
      </c>
      <c r="K281" s="15">
        <f t="shared" si="19"/>
        <v>55.573</v>
      </c>
    </row>
    <row r="282" spans="2:11">
      <c r="B282" s="12">
        <f t="shared" si="16"/>
        <v>46174</v>
      </c>
      <c r="C282" s="7">
        <v>46179</v>
      </c>
      <c r="D282" s="8">
        <v>7730</v>
      </c>
      <c r="E282" s="9">
        <v>10118.266</v>
      </c>
      <c r="F282" s="8">
        <v>7300</v>
      </c>
      <c r="G282" s="8">
        <v>9150</v>
      </c>
      <c r="H282" s="10">
        <f t="shared" si="17"/>
        <v>92361196.179999992</v>
      </c>
      <c r="I282" s="14">
        <f>VLOOKUP(C282,'Draw Data'!A:B,2,0)</f>
        <v>58791</v>
      </c>
      <c r="J282" s="10">
        <f t="shared" si="18"/>
        <v>1571.0091030940109</v>
      </c>
      <c r="K282" s="15">
        <f t="shared" si="19"/>
        <v>58.790999999999997</v>
      </c>
    </row>
    <row r="283" spans="2:11">
      <c r="B283" s="12">
        <f t="shared" si="16"/>
        <v>46174</v>
      </c>
      <c r="C283" s="7">
        <v>46180</v>
      </c>
      <c r="D283" s="8">
        <v>7553</v>
      </c>
      <c r="E283" s="9">
        <v>10231.384</v>
      </c>
      <c r="F283" s="8">
        <v>7360</v>
      </c>
      <c r="G283" s="8">
        <v>8600</v>
      </c>
      <c r="H283" s="10">
        <f t="shared" si="17"/>
        <v>91003243.351999998</v>
      </c>
      <c r="I283" s="14">
        <f>VLOOKUP(C283,'Draw Data'!A:B,2,0)</f>
        <v>56963</v>
      </c>
      <c r="J283" s="10">
        <f t="shared" si="18"/>
        <v>1597.5851579446307</v>
      </c>
      <c r="K283" s="15">
        <f t="shared" si="19"/>
        <v>56.963000000000001</v>
      </c>
    </row>
    <row r="284" spans="2:11">
      <c r="B284" s="12">
        <f t="shared" si="16"/>
        <v>46174</v>
      </c>
      <c r="C284" s="7">
        <v>46181</v>
      </c>
      <c r="D284" s="8">
        <v>7613</v>
      </c>
      <c r="E284" s="9">
        <v>10150.674999999999</v>
      </c>
      <c r="F284" s="8">
        <v>7300</v>
      </c>
      <c r="G284" s="8">
        <v>10250</v>
      </c>
      <c r="H284" s="10">
        <f t="shared" si="17"/>
        <v>92370088.774999991</v>
      </c>
      <c r="I284" s="14">
        <f>VLOOKUP(C284,'Draw Data'!A:B,2,0)</f>
        <v>59467</v>
      </c>
      <c r="J284" s="10">
        <f t="shared" si="18"/>
        <v>1553.2999609026854</v>
      </c>
      <c r="K284" s="15">
        <f t="shared" si="19"/>
        <v>59.466999999999999</v>
      </c>
    </row>
    <row r="285" spans="2:11">
      <c r="B285" s="12">
        <f t="shared" si="16"/>
        <v>46174</v>
      </c>
      <c r="C285" s="7">
        <v>46182</v>
      </c>
      <c r="D285" s="8">
        <v>7525</v>
      </c>
      <c r="E285" s="9">
        <v>10276.873</v>
      </c>
      <c r="F285" s="8">
        <v>7410</v>
      </c>
      <c r="G285" s="8">
        <v>10670</v>
      </c>
      <c r="H285" s="10">
        <f t="shared" si="17"/>
        <v>92882269.325000003</v>
      </c>
      <c r="I285" s="14">
        <f>VLOOKUP(C285,'Draw Data'!A:B,2,0)</f>
        <v>59525</v>
      </c>
      <c r="J285" s="10">
        <f t="shared" si="18"/>
        <v>1560.3909168416633</v>
      </c>
      <c r="K285" s="15">
        <f t="shared" si="19"/>
        <v>59.524999999999999</v>
      </c>
    </row>
    <row r="286" spans="2:11">
      <c r="B286" s="12">
        <f t="shared" si="16"/>
        <v>46174</v>
      </c>
      <c r="C286" s="7">
        <v>46183</v>
      </c>
      <c r="D286" s="8">
        <v>7544</v>
      </c>
      <c r="E286" s="9">
        <v>10229.313</v>
      </c>
      <c r="F286" s="8">
        <v>7220</v>
      </c>
      <c r="G286" s="8">
        <v>10670</v>
      </c>
      <c r="H286" s="10">
        <f t="shared" si="17"/>
        <v>92555337.272</v>
      </c>
      <c r="I286" s="14">
        <f>VLOOKUP(C286,'Draw Data'!A:B,2,0)</f>
        <v>59508</v>
      </c>
      <c r="J286" s="10">
        <f t="shared" si="18"/>
        <v>1555.3427652080393</v>
      </c>
      <c r="K286" s="15">
        <f t="shared" si="19"/>
        <v>59.508000000000003</v>
      </c>
    </row>
    <row r="287" spans="2:11">
      <c r="B287" s="12">
        <f t="shared" si="16"/>
        <v>46174</v>
      </c>
      <c r="C287" s="7">
        <v>46184</v>
      </c>
      <c r="D287" s="8">
        <v>7494</v>
      </c>
      <c r="E287" s="9">
        <v>10289.103999999999</v>
      </c>
      <c r="F287" s="8">
        <v>7320</v>
      </c>
      <c r="G287" s="8">
        <v>10200</v>
      </c>
      <c r="H287" s="10">
        <f t="shared" si="17"/>
        <v>92173745.376000002</v>
      </c>
      <c r="I287" s="14">
        <f>VLOOKUP(C287,'Draw Data'!A:B,2,0)</f>
        <v>57924</v>
      </c>
      <c r="J287" s="10">
        <f t="shared" si="18"/>
        <v>1591.2876420136731</v>
      </c>
      <c r="K287" s="15">
        <f t="shared" si="19"/>
        <v>57.923999999999999</v>
      </c>
    </row>
    <row r="288" spans="2:11">
      <c r="B288" s="12">
        <f t="shared" si="16"/>
        <v>46174</v>
      </c>
      <c r="C288" s="7">
        <v>46185</v>
      </c>
      <c r="D288" s="8">
        <v>7556</v>
      </c>
      <c r="E288" s="9">
        <v>10253.683999999999</v>
      </c>
      <c r="F288" s="8">
        <v>7380</v>
      </c>
      <c r="G288" s="8">
        <v>9160</v>
      </c>
      <c r="H288" s="10">
        <f t="shared" si="17"/>
        <v>91701236.30399999</v>
      </c>
      <c r="I288" s="14">
        <f>VLOOKUP(C288,'Draw Data'!A:B,2,0)</f>
        <v>57566</v>
      </c>
      <c r="J288" s="10">
        <f t="shared" si="18"/>
        <v>1592.975650627106</v>
      </c>
      <c r="K288" s="15">
        <f t="shared" si="19"/>
        <v>57.566000000000003</v>
      </c>
    </row>
    <row r="289" spans="2:11">
      <c r="B289" s="12">
        <f t="shared" si="16"/>
        <v>46174</v>
      </c>
      <c r="C289" s="7">
        <v>46186</v>
      </c>
      <c r="D289" s="8">
        <v>7535</v>
      </c>
      <c r="E289" s="9">
        <v>10231.166999999999</v>
      </c>
      <c r="F289" s="8">
        <v>7270</v>
      </c>
      <c r="G289" s="8">
        <v>10110</v>
      </c>
      <c r="H289" s="10">
        <f t="shared" si="17"/>
        <v>92038643.344999999</v>
      </c>
      <c r="I289" s="14">
        <f>VLOOKUP(C289,'Draw Data'!A:B,2,0)</f>
        <v>58720</v>
      </c>
      <c r="J289" s="10">
        <f t="shared" si="18"/>
        <v>1567.4155883004087</v>
      </c>
      <c r="K289" s="15">
        <f t="shared" si="19"/>
        <v>58.72</v>
      </c>
    </row>
    <row r="290" spans="2:11">
      <c r="B290" s="12">
        <f t="shared" si="16"/>
        <v>46174</v>
      </c>
      <c r="C290" s="7">
        <v>46187</v>
      </c>
      <c r="D290" s="8">
        <v>7624</v>
      </c>
      <c r="E290" s="9">
        <v>10295.099</v>
      </c>
      <c r="F290" s="8">
        <v>7330</v>
      </c>
      <c r="G290" s="8">
        <v>9430</v>
      </c>
      <c r="H290" s="10">
        <f t="shared" si="17"/>
        <v>92903434.776000008</v>
      </c>
      <c r="I290" s="14">
        <f>VLOOKUP(C290,'Draw Data'!A:B,2,0)</f>
        <v>58990</v>
      </c>
      <c r="J290" s="10">
        <f t="shared" si="18"/>
        <v>1574.9014201729108</v>
      </c>
      <c r="K290" s="15">
        <f t="shared" si="19"/>
        <v>58.99</v>
      </c>
    </row>
    <row r="291" spans="2:11">
      <c r="B291" s="12">
        <f t="shared" si="16"/>
        <v>46174</v>
      </c>
      <c r="C291" s="7">
        <v>46188</v>
      </c>
      <c r="D291" s="8">
        <v>7716</v>
      </c>
      <c r="E291" s="9">
        <v>10321.42</v>
      </c>
      <c r="F291" s="8">
        <v>7290</v>
      </c>
      <c r="G291" s="8">
        <v>9620</v>
      </c>
      <c r="H291" s="10">
        <f t="shared" si="17"/>
        <v>94182676.719999999</v>
      </c>
      <c r="I291" s="14">
        <f>VLOOKUP(C291,'Draw Data'!A:B,2,0)</f>
        <v>60419</v>
      </c>
      <c r="J291" s="10">
        <f t="shared" si="18"/>
        <v>1558.8254807262615</v>
      </c>
      <c r="K291" s="15">
        <f t="shared" si="19"/>
        <v>60.418999999999997</v>
      </c>
    </row>
    <row r="292" spans="2:11">
      <c r="B292" s="12">
        <f t="shared" si="16"/>
        <v>46174</v>
      </c>
      <c r="C292" s="7">
        <v>46189</v>
      </c>
      <c r="D292" s="8">
        <v>7713</v>
      </c>
      <c r="E292" s="9">
        <v>10343.35</v>
      </c>
      <c r="F292" s="8">
        <v>7400</v>
      </c>
      <c r="G292" s="8">
        <v>9510</v>
      </c>
      <c r="H292" s="10">
        <f t="shared" si="17"/>
        <v>94320858.549999997</v>
      </c>
      <c r="I292" s="14">
        <f>VLOOKUP(C292,'Draw Data'!A:B,2,0)</f>
        <v>61692</v>
      </c>
      <c r="J292" s="10">
        <f t="shared" si="18"/>
        <v>1528.8993475653244</v>
      </c>
      <c r="K292" s="15">
        <f t="shared" si="19"/>
        <v>61.692</v>
      </c>
    </row>
    <row r="293" spans="2:11">
      <c r="B293" s="12">
        <f t="shared" si="16"/>
        <v>46174</v>
      </c>
      <c r="C293" s="7">
        <v>46190</v>
      </c>
      <c r="D293" s="8">
        <v>7755</v>
      </c>
      <c r="E293" s="9">
        <v>10241.358</v>
      </c>
      <c r="F293" s="8">
        <v>7340</v>
      </c>
      <c r="G293" s="8">
        <v>10230</v>
      </c>
      <c r="H293" s="10">
        <f t="shared" si="17"/>
        <v>94531931.290000007</v>
      </c>
      <c r="I293" s="14">
        <f>VLOOKUP(C293,'Draw Data'!A:B,2,0)</f>
        <v>61813</v>
      </c>
      <c r="J293" s="10">
        <f t="shared" si="18"/>
        <v>1529.3211992622912</v>
      </c>
      <c r="K293" s="15">
        <f t="shared" si="19"/>
        <v>61.813000000000002</v>
      </c>
    </row>
    <row r="294" spans="2:11">
      <c r="B294" s="12">
        <f t="shared" si="16"/>
        <v>46174</v>
      </c>
      <c r="C294" s="7">
        <v>46191</v>
      </c>
      <c r="D294" s="8">
        <v>7651</v>
      </c>
      <c r="E294" s="9">
        <v>10278.459000000001</v>
      </c>
      <c r="F294" s="8">
        <v>7330</v>
      </c>
      <c r="G294" s="8">
        <v>8660</v>
      </c>
      <c r="H294" s="10">
        <f t="shared" si="17"/>
        <v>92391889.809</v>
      </c>
      <c r="I294" s="14">
        <f>VLOOKUP(C294,'Draw Data'!A:B,2,0)</f>
        <v>58677</v>
      </c>
      <c r="J294" s="10">
        <f t="shared" si="18"/>
        <v>1574.5844165345877</v>
      </c>
      <c r="K294" s="15">
        <f t="shared" si="19"/>
        <v>58.677</v>
      </c>
    </row>
    <row r="295" spans="2:11">
      <c r="B295" s="12">
        <f t="shared" si="16"/>
        <v>46174</v>
      </c>
      <c r="C295" s="7">
        <v>46192</v>
      </c>
      <c r="D295" s="8">
        <v>7655</v>
      </c>
      <c r="E295" s="9">
        <v>10266.875</v>
      </c>
      <c r="F295" s="8">
        <v>7320</v>
      </c>
      <c r="G295" s="8">
        <v>7910</v>
      </c>
      <c r="H295" s="10">
        <f t="shared" si="17"/>
        <v>91690728.125</v>
      </c>
      <c r="I295" s="14">
        <f>VLOOKUP(C295,'Draw Data'!A:B,2,0)</f>
        <v>57724</v>
      </c>
      <c r="J295" s="10">
        <f t="shared" si="18"/>
        <v>1588.4333747661285</v>
      </c>
      <c r="K295" s="15">
        <f t="shared" si="19"/>
        <v>57.723999999999997</v>
      </c>
    </row>
    <row r="296" spans="2:11">
      <c r="B296" s="12">
        <f t="shared" si="16"/>
        <v>46174</v>
      </c>
      <c r="C296" s="7">
        <v>46193</v>
      </c>
      <c r="D296" s="8">
        <v>7534</v>
      </c>
      <c r="E296" s="9">
        <v>10268.460999999999</v>
      </c>
      <c r="F296" s="8">
        <v>7300</v>
      </c>
      <c r="G296" s="8">
        <v>4990</v>
      </c>
      <c r="H296" s="10">
        <f t="shared" si="17"/>
        <v>87931985.173999995</v>
      </c>
      <c r="I296" s="14">
        <f>VLOOKUP(C296,'Draw Data'!A:B,2,0)</f>
        <v>52064</v>
      </c>
      <c r="J296" s="10">
        <f t="shared" si="18"/>
        <v>1688.9210428318991</v>
      </c>
      <c r="K296" s="15">
        <f t="shared" si="19"/>
        <v>52.064</v>
      </c>
    </row>
    <row r="297" spans="2:11">
      <c r="B297" s="12">
        <f t="shared" si="16"/>
        <v>46174</v>
      </c>
      <c r="C297" s="7">
        <v>46194</v>
      </c>
      <c r="D297" s="8">
        <v>7434</v>
      </c>
      <c r="E297" s="9">
        <v>10309.615</v>
      </c>
      <c r="F297" s="8">
        <v>7350</v>
      </c>
      <c r="G297" s="8">
        <v>4350</v>
      </c>
      <c r="H297" s="10">
        <f t="shared" si="17"/>
        <v>86703677.909999996</v>
      </c>
      <c r="I297" s="14">
        <f>VLOOKUP(C297,'Draw Data'!A:B,2,0)</f>
        <v>51503</v>
      </c>
      <c r="J297" s="10">
        <f t="shared" si="18"/>
        <v>1683.4684952332873</v>
      </c>
      <c r="K297" s="15">
        <f t="shared" si="19"/>
        <v>51.503</v>
      </c>
    </row>
    <row r="298" spans="2:11">
      <c r="B298" s="12">
        <f t="shared" si="16"/>
        <v>46174</v>
      </c>
      <c r="C298" s="7">
        <v>46195</v>
      </c>
      <c r="D298" s="8">
        <v>7517</v>
      </c>
      <c r="E298" s="9">
        <v>10299.268</v>
      </c>
      <c r="F298" s="8">
        <v>7320</v>
      </c>
      <c r="G298" s="8">
        <v>3970</v>
      </c>
      <c r="H298" s="10">
        <f t="shared" si="17"/>
        <v>87128997.555999994</v>
      </c>
      <c r="I298" s="14">
        <f>VLOOKUP(C298,'Draw Data'!A:B,2,0)</f>
        <v>50281</v>
      </c>
      <c r="J298" s="10">
        <f t="shared" si="18"/>
        <v>1732.8413825500686</v>
      </c>
      <c r="K298" s="15">
        <f t="shared" si="19"/>
        <v>50.280999999999999</v>
      </c>
    </row>
    <row r="299" spans="2:11">
      <c r="B299" s="12">
        <f t="shared" si="16"/>
        <v>46174</v>
      </c>
      <c r="C299" s="7">
        <v>46196</v>
      </c>
      <c r="D299" s="8">
        <v>7704</v>
      </c>
      <c r="E299" s="9">
        <v>10254.022000000001</v>
      </c>
      <c r="F299" s="8">
        <v>6130</v>
      </c>
      <c r="G299" s="8">
        <v>3590</v>
      </c>
      <c r="H299" s="10">
        <f t="shared" si="17"/>
        <v>87356185.488000005</v>
      </c>
      <c r="I299" s="14">
        <f>VLOOKUP(C299,'Draw Data'!A:B,2,0)</f>
        <v>51337</v>
      </c>
      <c r="J299" s="10">
        <f t="shared" si="18"/>
        <v>1701.622328690808</v>
      </c>
      <c r="K299" s="15">
        <f t="shared" si="19"/>
        <v>51.337000000000003</v>
      </c>
    </row>
    <row r="300" spans="2:11">
      <c r="B300" s="12">
        <f t="shared" si="16"/>
        <v>46174</v>
      </c>
      <c r="C300" s="7">
        <v>46197</v>
      </c>
      <c r="D300" s="8">
        <v>7663</v>
      </c>
      <c r="E300" s="9">
        <v>10237.831</v>
      </c>
      <c r="F300" s="8">
        <v>5820</v>
      </c>
      <c r="G300" s="8">
        <v>3750</v>
      </c>
      <c r="H300" s="10">
        <f t="shared" si="17"/>
        <v>86682698.952999994</v>
      </c>
      <c r="I300" s="14">
        <f>VLOOKUP(C300,'Draw Data'!A:B,2,0)</f>
        <v>50916</v>
      </c>
      <c r="J300" s="10">
        <f t="shared" si="18"/>
        <v>1702.4648234935971</v>
      </c>
      <c r="K300" s="15">
        <f t="shared" si="19"/>
        <v>50.915999999999997</v>
      </c>
    </row>
    <row r="301" spans="2:11">
      <c r="B301" s="12">
        <f t="shared" si="16"/>
        <v>46174</v>
      </c>
      <c r="C301" s="7">
        <v>46198</v>
      </c>
      <c r="D301" s="8">
        <v>7587</v>
      </c>
      <c r="E301" s="9">
        <v>10226.687</v>
      </c>
      <c r="F301" s="8">
        <v>5880</v>
      </c>
      <c r="G301" s="8">
        <v>3300</v>
      </c>
      <c r="H301" s="10">
        <f t="shared" si="17"/>
        <v>85484674.268999994</v>
      </c>
      <c r="I301" s="14">
        <f>VLOOKUP(C301,'Draw Data'!A:B,2,0)</f>
        <v>47824</v>
      </c>
      <c r="J301" s="10">
        <f t="shared" si="18"/>
        <v>1787.4848249623619</v>
      </c>
      <c r="K301" s="15">
        <f t="shared" si="19"/>
        <v>47.823999999999998</v>
      </c>
    </row>
    <row r="302" spans="2:11">
      <c r="B302" s="12">
        <f t="shared" si="16"/>
        <v>46174</v>
      </c>
      <c r="C302" s="7">
        <v>46199</v>
      </c>
      <c r="D302" s="8">
        <v>7590</v>
      </c>
      <c r="E302" s="9">
        <v>10197.995000000001</v>
      </c>
      <c r="F302" s="8">
        <v>5880</v>
      </c>
      <c r="G302" s="8">
        <v>2560</v>
      </c>
      <c r="H302" s="10">
        <f t="shared" si="17"/>
        <v>84661182.050000012</v>
      </c>
      <c r="I302" s="14">
        <f>VLOOKUP(C302,'Draw Data'!A:B,2,0)</f>
        <v>47958</v>
      </c>
      <c r="J302" s="10">
        <f t="shared" si="18"/>
        <v>1765.3192804120274</v>
      </c>
      <c r="K302" s="15">
        <f t="shared" si="19"/>
        <v>47.957999999999998</v>
      </c>
    </row>
    <row r="303" spans="2:11">
      <c r="B303" s="12">
        <f t="shared" si="16"/>
        <v>46174</v>
      </c>
      <c r="C303" s="7">
        <v>46200</v>
      </c>
      <c r="D303" s="8">
        <v>7566</v>
      </c>
      <c r="E303" s="9">
        <v>10250.243</v>
      </c>
      <c r="F303" s="8">
        <v>5550</v>
      </c>
      <c r="G303" s="8">
        <v>2860</v>
      </c>
      <c r="H303" s="10">
        <f t="shared" si="17"/>
        <v>84785938.538000003</v>
      </c>
      <c r="I303" s="14">
        <f>VLOOKUP(C303,'Draw Data'!A:B,2,0)</f>
        <v>47802</v>
      </c>
      <c r="J303" s="10">
        <f t="shared" si="18"/>
        <v>1773.6901915819421</v>
      </c>
      <c r="K303" s="15">
        <f t="shared" si="19"/>
        <v>47.802</v>
      </c>
    </row>
    <row r="304" spans="2:11">
      <c r="B304" s="12">
        <f t="shared" si="16"/>
        <v>46174</v>
      </c>
      <c r="C304" s="7">
        <v>46201</v>
      </c>
      <c r="D304" s="8">
        <v>7616</v>
      </c>
      <c r="E304" s="9">
        <v>10230.776</v>
      </c>
      <c r="F304" s="8">
        <v>7080</v>
      </c>
      <c r="G304" s="8">
        <v>4790</v>
      </c>
      <c r="H304" s="10">
        <f t="shared" si="17"/>
        <v>88125790.016000003</v>
      </c>
      <c r="I304" s="14">
        <f>VLOOKUP(C304,'Draw Data'!A:B,2,0)</f>
        <v>54497</v>
      </c>
      <c r="J304" s="10">
        <f t="shared" si="18"/>
        <v>1617.0759861276767</v>
      </c>
      <c r="K304" s="15">
        <f t="shared" si="19"/>
        <v>54.497</v>
      </c>
    </row>
    <row r="305" spans="2:11">
      <c r="B305" s="12">
        <f t="shared" si="16"/>
        <v>46174</v>
      </c>
      <c r="C305" s="7">
        <v>46202</v>
      </c>
      <c r="D305" s="8">
        <v>8357</v>
      </c>
      <c r="E305" s="9">
        <v>10293.522999999999</v>
      </c>
      <c r="F305" s="8">
        <v>7290</v>
      </c>
      <c r="G305" s="8">
        <v>7060</v>
      </c>
      <c r="H305" s="10">
        <f t="shared" si="17"/>
        <v>98363971.710999995</v>
      </c>
      <c r="I305" s="14">
        <f>VLOOKUP(C305,'Draw Data'!A:B,2,0)</f>
        <v>57343</v>
      </c>
      <c r="J305" s="10">
        <f t="shared" si="18"/>
        <v>1715.3614514587655</v>
      </c>
      <c r="K305" s="15">
        <f t="shared" si="19"/>
        <v>57.343000000000004</v>
      </c>
    </row>
    <row r="306" spans="2:11">
      <c r="B306" s="12">
        <f t="shared" si="16"/>
        <v>46174</v>
      </c>
      <c r="C306" s="7">
        <v>46203</v>
      </c>
      <c r="D306" s="8">
        <v>7809</v>
      </c>
      <c r="E306" s="9">
        <v>10255.08</v>
      </c>
      <c r="F306" s="8">
        <v>7340</v>
      </c>
      <c r="G306" s="8">
        <v>8050</v>
      </c>
      <c r="H306" s="10">
        <f t="shared" si="17"/>
        <v>93317319.719999999</v>
      </c>
      <c r="I306" s="14">
        <f>VLOOKUP(C306,'Draw Data'!A:B,2,0)</f>
        <v>60556</v>
      </c>
      <c r="J306" s="10">
        <f t="shared" si="18"/>
        <v>1541.0086485236804</v>
      </c>
      <c r="K306" s="15">
        <f t="shared" si="19"/>
        <v>60.555999999999997</v>
      </c>
    </row>
    <row r="307" spans="2:11">
      <c r="B307" s="12">
        <f t="shared" si="16"/>
        <v>46204</v>
      </c>
      <c r="C307" s="7">
        <v>46204</v>
      </c>
      <c r="D307" s="8">
        <v>7836</v>
      </c>
      <c r="E307" s="9">
        <v>10116.272999999999</v>
      </c>
      <c r="F307" s="8">
        <v>7350</v>
      </c>
      <c r="G307" s="8">
        <v>8930</v>
      </c>
      <c r="H307" s="10">
        <f t="shared" si="17"/>
        <v>93271915.228</v>
      </c>
      <c r="I307" s="14">
        <f>VLOOKUP(C307,'Draw Data'!A:B,2,0)</f>
        <v>60986</v>
      </c>
      <c r="J307" s="10">
        <f t="shared" si="18"/>
        <v>1529.3988001836487</v>
      </c>
      <c r="K307" s="15">
        <f t="shared" si="19"/>
        <v>60.985999999999997</v>
      </c>
    </row>
    <row r="308" spans="2:11">
      <c r="B308" s="12">
        <f t="shared" si="16"/>
        <v>46204</v>
      </c>
      <c r="C308" s="7">
        <v>46205</v>
      </c>
      <c r="D308" s="8">
        <v>8077</v>
      </c>
      <c r="E308" s="9">
        <v>9942.1460000000006</v>
      </c>
      <c r="F308" s="8">
        <v>7320</v>
      </c>
      <c r="G308" s="8">
        <v>8910</v>
      </c>
      <c r="H308" s="10">
        <f t="shared" si="17"/>
        <v>94260513.241999999</v>
      </c>
      <c r="I308" s="14">
        <f>VLOOKUP(C308,'Draw Data'!A:B,2,0)</f>
        <v>60778</v>
      </c>
      <c r="J308" s="10">
        <f t="shared" si="18"/>
        <v>1550.8985692520321</v>
      </c>
      <c r="K308" s="15">
        <f t="shared" si="19"/>
        <v>60.777999999999999</v>
      </c>
    </row>
    <row r="309" spans="2:11">
      <c r="B309" s="12">
        <f t="shared" si="16"/>
        <v>46204</v>
      </c>
      <c r="C309" s="7">
        <v>46206</v>
      </c>
      <c r="D309" s="8">
        <v>8388</v>
      </c>
      <c r="E309" s="9">
        <v>9485.7489999999998</v>
      </c>
      <c r="F309" s="8">
        <v>7220</v>
      </c>
      <c r="G309" s="8">
        <v>10380</v>
      </c>
      <c r="H309" s="10">
        <f t="shared" si="17"/>
        <v>94702462.612000003</v>
      </c>
      <c r="I309" s="14">
        <f>VLOOKUP(C309,'Draw Data'!A:B,2,0)</f>
        <v>62138</v>
      </c>
      <c r="J309" s="10">
        <f t="shared" si="18"/>
        <v>1524.066796678361</v>
      </c>
      <c r="K309" s="15">
        <f t="shared" si="19"/>
        <v>62.137999999999998</v>
      </c>
    </row>
    <row r="310" spans="2:11">
      <c r="B310" s="12">
        <f t="shared" si="16"/>
        <v>46204</v>
      </c>
      <c r="C310" s="7">
        <v>46207</v>
      </c>
      <c r="D310" s="8">
        <v>8667</v>
      </c>
      <c r="E310" s="9">
        <v>9325.4179999999997</v>
      </c>
      <c r="F310" s="8">
        <v>7360</v>
      </c>
      <c r="G310" s="8">
        <v>9740</v>
      </c>
      <c r="H310" s="10">
        <f t="shared" si="17"/>
        <v>95529397.805999994</v>
      </c>
      <c r="I310" s="14">
        <f>VLOOKUP(C310,'Draw Data'!A:B,2,0)</f>
        <v>61610</v>
      </c>
      <c r="J310" s="10">
        <f t="shared" si="18"/>
        <v>1550.5501997403019</v>
      </c>
      <c r="K310" s="15">
        <f t="shared" si="19"/>
        <v>61.61</v>
      </c>
    </row>
    <row r="311" spans="2:11">
      <c r="B311" s="12">
        <f t="shared" si="16"/>
        <v>46204</v>
      </c>
      <c r="C311" s="7">
        <v>46208</v>
      </c>
      <c r="D311" s="8">
        <v>8422</v>
      </c>
      <c r="E311" s="9">
        <v>9226.7009999999991</v>
      </c>
      <c r="F311" s="8">
        <v>7320</v>
      </c>
      <c r="G311" s="8">
        <v>9260</v>
      </c>
      <c r="H311" s="10">
        <f t="shared" si="17"/>
        <v>91966075.821999997</v>
      </c>
      <c r="I311" s="14">
        <f>VLOOKUP(C311,'Draw Data'!A:B,2,0)</f>
        <v>57999</v>
      </c>
      <c r="J311" s="10">
        <f t="shared" si="18"/>
        <v>1585.6493357126847</v>
      </c>
      <c r="K311" s="15">
        <f t="shared" si="19"/>
        <v>57.999000000000002</v>
      </c>
    </row>
    <row r="312" spans="2:11">
      <c r="B312" s="12">
        <f t="shared" si="16"/>
        <v>46204</v>
      </c>
      <c r="C312" s="7">
        <v>46209</v>
      </c>
      <c r="D312" s="8">
        <v>8193</v>
      </c>
      <c r="E312" s="9">
        <v>9703.777</v>
      </c>
      <c r="F312" s="8">
        <v>7200</v>
      </c>
      <c r="G312" s="8">
        <v>9000</v>
      </c>
      <c r="H312" s="10">
        <f t="shared" si="17"/>
        <v>93435044.960999995</v>
      </c>
      <c r="I312" s="14">
        <f>VLOOKUP(C312,'Draw Data'!A:B,2,0)</f>
        <v>58427</v>
      </c>
      <c r="J312" s="10">
        <f t="shared" si="18"/>
        <v>1599.1758084618411</v>
      </c>
      <c r="K312" s="15">
        <f t="shared" si="19"/>
        <v>58.427</v>
      </c>
    </row>
    <row r="313" spans="2:11">
      <c r="B313" s="12">
        <f t="shared" si="16"/>
        <v>46204</v>
      </c>
      <c r="C313" s="7">
        <v>46210</v>
      </c>
      <c r="D313" s="8">
        <v>7741</v>
      </c>
      <c r="E313" s="9">
        <v>10223.58</v>
      </c>
      <c r="F313" s="8">
        <v>7380</v>
      </c>
      <c r="G313" s="8">
        <v>8960</v>
      </c>
      <c r="H313" s="10">
        <f t="shared" si="17"/>
        <v>93193132.780000001</v>
      </c>
      <c r="I313" s="14">
        <f>VLOOKUP(C313,'Draw Data'!A:B,2,0)</f>
        <v>58851</v>
      </c>
      <c r="J313" s="10">
        <f t="shared" si="18"/>
        <v>1583.5437423323308</v>
      </c>
      <c r="K313" s="15">
        <f t="shared" si="19"/>
        <v>58.850999999999999</v>
      </c>
    </row>
    <row r="314" spans="2:11">
      <c r="B314" s="12">
        <f t="shared" si="16"/>
        <v>46204</v>
      </c>
      <c r="C314" s="7">
        <v>46211</v>
      </c>
      <c r="D314" s="8">
        <v>7747</v>
      </c>
      <c r="E314" s="9">
        <v>10295.553</v>
      </c>
      <c r="F314" s="8">
        <v>7310</v>
      </c>
      <c r="G314" s="8">
        <v>8560</v>
      </c>
      <c r="H314" s="10">
        <f t="shared" si="17"/>
        <v>93407849.091000006</v>
      </c>
      <c r="I314" s="14">
        <f>VLOOKUP(C314,'Draw Data'!A:B,2,0)</f>
        <v>59340</v>
      </c>
      <c r="J314" s="10">
        <f t="shared" si="18"/>
        <v>1574.1127248230537</v>
      </c>
      <c r="K314" s="15">
        <f t="shared" si="19"/>
        <v>59.34</v>
      </c>
    </row>
    <row r="315" spans="2:11">
      <c r="B315" s="12">
        <f t="shared" si="16"/>
        <v>46204</v>
      </c>
      <c r="C315" s="7">
        <v>46212</v>
      </c>
      <c r="D315" s="8">
        <v>7652</v>
      </c>
      <c r="E315" s="9">
        <v>10336.402</v>
      </c>
      <c r="F315" s="8">
        <v>7330</v>
      </c>
      <c r="G315" s="8">
        <v>8640</v>
      </c>
      <c r="H315" s="10">
        <f t="shared" si="17"/>
        <v>92828348.104000002</v>
      </c>
      <c r="I315" s="14">
        <f>VLOOKUP(C315,'Draw Data'!A:B,2,0)</f>
        <v>57472</v>
      </c>
      <c r="J315" s="10">
        <f t="shared" si="18"/>
        <v>1615.1925825445435</v>
      </c>
      <c r="K315" s="15">
        <f t="shared" si="19"/>
        <v>57.472000000000001</v>
      </c>
    </row>
    <row r="316" spans="2:11">
      <c r="B316" s="12">
        <f t="shared" si="16"/>
        <v>46204</v>
      </c>
      <c r="C316" s="7">
        <v>46213</v>
      </c>
      <c r="D316" s="8">
        <v>8116</v>
      </c>
      <c r="E316" s="9">
        <v>9897.9179999999997</v>
      </c>
      <c r="F316" s="8">
        <v>7330</v>
      </c>
      <c r="G316" s="8">
        <v>7810</v>
      </c>
      <c r="H316" s="10">
        <f t="shared" si="17"/>
        <v>93351902.487999991</v>
      </c>
      <c r="I316" s="14">
        <f>VLOOKUP(C316,'Draw Data'!A:B,2,0)</f>
        <v>59014</v>
      </c>
      <c r="J316" s="10">
        <f t="shared" si="18"/>
        <v>1581.8602787135255</v>
      </c>
      <c r="K316" s="15">
        <f t="shared" si="19"/>
        <v>59.014000000000003</v>
      </c>
    </row>
    <row r="317" spans="2:11">
      <c r="B317" s="12">
        <f t="shared" si="16"/>
        <v>46204</v>
      </c>
      <c r="C317" s="7">
        <v>46214</v>
      </c>
      <c r="D317" s="8">
        <v>8274</v>
      </c>
      <c r="E317" s="9">
        <v>9641.3510000000006</v>
      </c>
      <c r="F317" s="8">
        <v>7330</v>
      </c>
      <c r="G317" s="8">
        <v>9620</v>
      </c>
      <c r="H317" s="10">
        <f t="shared" si="17"/>
        <v>94349538.17400001</v>
      </c>
      <c r="I317" s="14">
        <f>VLOOKUP(C317,'Draw Data'!A:B,2,0)</f>
        <v>60319</v>
      </c>
      <c r="J317" s="10">
        <f t="shared" si="18"/>
        <v>1564.1760999685009</v>
      </c>
      <c r="K317" s="15">
        <f t="shared" si="19"/>
        <v>60.319000000000003</v>
      </c>
    </row>
    <row r="318" spans="2:11">
      <c r="B318" s="12">
        <f t="shared" si="16"/>
        <v>46204</v>
      </c>
      <c r="C318" s="7">
        <v>46215</v>
      </c>
      <c r="D318" s="8">
        <v>8635</v>
      </c>
      <c r="E318" s="9">
        <v>9281.0609999999997</v>
      </c>
      <c r="F318" s="8">
        <v>7330</v>
      </c>
      <c r="G318" s="8">
        <v>9000</v>
      </c>
      <c r="H318" s="10">
        <f t="shared" si="17"/>
        <v>94185761.734999999</v>
      </c>
      <c r="I318" s="14">
        <f>VLOOKUP(C318,'Draw Data'!A:B,2,0)</f>
        <v>57702</v>
      </c>
      <c r="J318" s="10">
        <f t="shared" si="18"/>
        <v>1632.2789805379364</v>
      </c>
      <c r="K318" s="15">
        <f t="shared" si="19"/>
        <v>57.701999999999998</v>
      </c>
    </row>
    <row r="319" spans="2:11">
      <c r="B319" s="12">
        <f t="shared" si="16"/>
        <v>46204</v>
      </c>
      <c r="C319" s="7">
        <v>46216</v>
      </c>
      <c r="D319" s="8">
        <v>8514</v>
      </c>
      <c r="E319" s="9">
        <v>9260.3909999999996</v>
      </c>
      <c r="F319" s="8">
        <v>7350</v>
      </c>
      <c r="G319" s="8">
        <v>7370</v>
      </c>
      <c r="H319" s="10">
        <f t="shared" si="17"/>
        <v>91502168.973999992</v>
      </c>
      <c r="I319" s="14">
        <f>VLOOKUP(C319,'Draw Data'!A:B,2,0)</f>
        <v>55874</v>
      </c>
      <c r="J319" s="10">
        <f t="shared" si="18"/>
        <v>1637.6520201524859</v>
      </c>
      <c r="K319" s="15">
        <f t="shared" si="19"/>
        <v>55.874000000000002</v>
      </c>
    </row>
    <row r="320" spans="2:11">
      <c r="B320" s="12">
        <f t="shared" si="16"/>
        <v>46204</v>
      </c>
      <c r="C320" s="7">
        <v>46217</v>
      </c>
      <c r="D320" s="8">
        <v>8345</v>
      </c>
      <c r="E320" s="9">
        <v>9348.4210000000003</v>
      </c>
      <c r="F320" s="8">
        <v>7310</v>
      </c>
      <c r="G320" s="8">
        <v>4650</v>
      </c>
      <c r="H320" s="10">
        <f t="shared" si="17"/>
        <v>88298173.245000005</v>
      </c>
      <c r="I320" s="14">
        <f>VLOOKUP(C320,'Draw Data'!A:B,2,0)</f>
        <v>51279</v>
      </c>
      <c r="J320" s="10">
        <f t="shared" si="18"/>
        <v>1721.9168323290237</v>
      </c>
      <c r="K320" s="15">
        <f t="shared" si="19"/>
        <v>51.279000000000003</v>
      </c>
    </row>
    <row r="321" spans="2:11">
      <c r="B321" s="12">
        <f t="shared" si="16"/>
        <v>46204</v>
      </c>
      <c r="C321" s="7">
        <v>46218</v>
      </c>
      <c r="D321" s="8">
        <v>8195</v>
      </c>
      <c r="E321" s="9">
        <v>9617.6319999999996</v>
      </c>
      <c r="F321" s="8">
        <v>7300</v>
      </c>
      <c r="G321" s="8">
        <v>5340</v>
      </c>
      <c r="H321" s="10">
        <f t="shared" si="17"/>
        <v>89686894.239999995</v>
      </c>
      <c r="I321" s="14">
        <f>VLOOKUP(C321,'Draw Data'!A:B,2,0)</f>
        <v>54394</v>
      </c>
      <c r="J321" s="10">
        <f t="shared" si="18"/>
        <v>1648.8380012501377</v>
      </c>
      <c r="K321" s="15">
        <f t="shared" si="19"/>
        <v>54.393999999999998</v>
      </c>
    </row>
    <row r="322" spans="2:11">
      <c r="B322" s="12">
        <f t="shared" si="16"/>
        <v>46204</v>
      </c>
      <c r="C322" s="7">
        <v>46219</v>
      </c>
      <c r="D322" s="8">
        <v>8378</v>
      </c>
      <c r="E322" s="9">
        <v>9393.4740000000002</v>
      </c>
      <c r="F322" s="8">
        <v>7350</v>
      </c>
      <c r="G322" s="8">
        <v>4630</v>
      </c>
      <c r="H322" s="10">
        <f t="shared" si="17"/>
        <v>89001325.172000006</v>
      </c>
      <c r="I322" s="14">
        <f>VLOOKUP(C322,'Draw Data'!A:B,2,0)</f>
        <v>50511</v>
      </c>
      <c r="J322" s="10">
        <f t="shared" si="18"/>
        <v>1762.0186726059671</v>
      </c>
      <c r="K322" s="15">
        <f t="shared" si="19"/>
        <v>50.511000000000003</v>
      </c>
    </row>
    <row r="323" spans="2:11">
      <c r="B323" s="12">
        <f t="shared" si="16"/>
        <v>46204</v>
      </c>
      <c r="C323" s="7">
        <v>46220</v>
      </c>
      <c r="D323" s="8">
        <v>8236</v>
      </c>
      <c r="E323" s="9">
        <v>9417.8320000000003</v>
      </c>
      <c r="F323" s="8">
        <v>7340</v>
      </c>
      <c r="G323" s="8">
        <v>3580</v>
      </c>
      <c r="H323" s="10">
        <f t="shared" si="17"/>
        <v>86956464.351999998</v>
      </c>
      <c r="I323" s="14">
        <f>VLOOKUP(C323,'Draw Data'!A:B,2,0)</f>
        <v>51272</v>
      </c>
      <c r="J323" s="10">
        <f t="shared" si="18"/>
        <v>1695.9834676236542</v>
      </c>
      <c r="K323" s="15">
        <f t="shared" si="19"/>
        <v>51.271999999999998</v>
      </c>
    </row>
    <row r="324" spans="2:11">
      <c r="B324" s="12">
        <f t="shared" si="16"/>
        <v>46204</v>
      </c>
      <c r="C324" s="7">
        <v>46221</v>
      </c>
      <c r="D324" s="8">
        <v>8490</v>
      </c>
      <c r="E324" s="9">
        <v>9079.9580000000005</v>
      </c>
      <c r="F324" s="8">
        <v>7340</v>
      </c>
      <c r="G324" s="8">
        <v>4110</v>
      </c>
      <c r="H324" s="10">
        <f t="shared" si="17"/>
        <v>86935843.420000002</v>
      </c>
      <c r="I324" s="14">
        <f>VLOOKUP(C324,'Draw Data'!A:B,2,0)</f>
        <v>49514</v>
      </c>
      <c r="J324" s="10">
        <f t="shared" si="18"/>
        <v>1755.7830799369876</v>
      </c>
      <c r="K324" s="15">
        <f t="shared" si="19"/>
        <v>49.514000000000003</v>
      </c>
    </row>
    <row r="325" spans="2:11">
      <c r="B325" s="12">
        <f t="shared" ref="B325:B337" si="20">DATE(YEAR(C325),MONTH(C325),1)</f>
        <v>46204</v>
      </c>
      <c r="C325" s="7">
        <v>46222</v>
      </c>
      <c r="D325" s="8">
        <v>8527</v>
      </c>
      <c r="E325" s="9">
        <v>9086.6489999999994</v>
      </c>
      <c r="F325" s="8">
        <v>7300</v>
      </c>
      <c r="G325" s="8">
        <v>4670</v>
      </c>
      <c r="H325" s="10">
        <f t="shared" ref="H325:H337" si="21">((D325 *(E325))+ ((F325+G325)*860))</f>
        <v>87776056.023000002</v>
      </c>
      <c r="I325" s="14">
        <f>VLOOKUP(C325,'Draw Data'!A:B,2,0)</f>
        <v>50935</v>
      </c>
      <c r="J325" s="10">
        <f t="shared" ref="J325:J337" si="22">H325/I325</f>
        <v>1723.2954947089429</v>
      </c>
      <c r="K325" s="15">
        <f t="shared" ref="K325:K337" si="23">I325/1000</f>
        <v>50.935000000000002</v>
      </c>
    </row>
    <row r="326" spans="2:11">
      <c r="B326" s="12">
        <f t="shared" si="20"/>
        <v>46204</v>
      </c>
      <c r="C326" s="7">
        <v>46223</v>
      </c>
      <c r="D326" s="8">
        <v>8502</v>
      </c>
      <c r="E326" s="9">
        <v>9110.2330000000002</v>
      </c>
      <c r="F326" s="8">
        <v>7300</v>
      </c>
      <c r="G326" s="8">
        <v>5530</v>
      </c>
      <c r="H326" s="10">
        <f t="shared" si="21"/>
        <v>88489000.966000006</v>
      </c>
      <c r="I326" s="14">
        <f>VLOOKUP(C326,'Draw Data'!A:B,2,0)</f>
        <v>52368</v>
      </c>
      <c r="J326" s="10">
        <f t="shared" si="22"/>
        <v>1689.7533028948978</v>
      </c>
      <c r="K326" s="15">
        <f t="shared" si="23"/>
        <v>52.368000000000002</v>
      </c>
    </row>
    <row r="327" spans="2:11">
      <c r="B327" s="12">
        <f t="shared" si="20"/>
        <v>46204</v>
      </c>
      <c r="C327" s="7">
        <v>46224</v>
      </c>
      <c r="D327" s="8">
        <v>8598</v>
      </c>
      <c r="E327" s="9">
        <v>9045.1190000000006</v>
      </c>
      <c r="F327" s="8">
        <v>7350</v>
      </c>
      <c r="G327" s="8">
        <v>5940</v>
      </c>
      <c r="H327" s="10">
        <f t="shared" si="21"/>
        <v>89199333.162</v>
      </c>
      <c r="I327" s="14">
        <f>VLOOKUP(C327,'Draw Data'!A:B,2,0)</f>
        <v>52092</v>
      </c>
      <c r="J327" s="10">
        <f t="shared" si="22"/>
        <v>1712.3422629578438</v>
      </c>
      <c r="K327" s="15">
        <f t="shared" si="23"/>
        <v>52.091999999999999</v>
      </c>
    </row>
    <row r="328" spans="2:11">
      <c r="B328" s="12">
        <f t="shared" si="20"/>
        <v>46204</v>
      </c>
      <c r="C328" s="7">
        <v>46225</v>
      </c>
      <c r="D328" s="8">
        <v>8556</v>
      </c>
      <c r="E328" s="9">
        <v>9097.6460000000006</v>
      </c>
      <c r="F328" s="8">
        <v>7220</v>
      </c>
      <c r="G328" s="8">
        <v>6090</v>
      </c>
      <c r="H328" s="10">
        <f t="shared" si="21"/>
        <v>89286059.175999999</v>
      </c>
      <c r="I328" s="14">
        <f>VLOOKUP(C328,'Draw Data'!A:B,2,0)</f>
        <v>52138</v>
      </c>
      <c r="J328" s="10">
        <f t="shared" si="22"/>
        <v>1712.4949015305535</v>
      </c>
      <c r="K328" s="15">
        <f t="shared" si="23"/>
        <v>52.137999999999998</v>
      </c>
    </row>
    <row r="329" spans="2:11">
      <c r="B329" s="12">
        <f t="shared" si="20"/>
        <v>46204</v>
      </c>
      <c r="C329" s="7">
        <v>46226</v>
      </c>
      <c r="D329" s="8">
        <v>8125</v>
      </c>
      <c r="E329" s="9">
        <v>9613.2919999999995</v>
      </c>
      <c r="F329" s="8">
        <v>7320</v>
      </c>
      <c r="G329" s="8">
        <v>5850</v>
      </c>
      <c r="H329" s="10">
        <f t="shared" si="21"/>
        <v>89434197.5</v>
      </c>
      <c r="I329" s="14">
        <f>VLOOKUP(C329,'Draw Data'!A:B,2,0)</f>
        <v>51336</v>
      </c>
      <c r="J329" s="10">
        <f t="shared" si="22"/>
        <v>1742.134126149291</v>
      </c>
      <c r="K329" s="15">
        <f t="shared" si="23"/>
        <v>51.335999999999999</v>
      </c>
    </row>
    <row r="330" spans="2:11">
      <c r="B330" s="12">
        <f t="shared" si="20"/>
        <v>46204</v>
      </c>
      <c r="C330" s="7">
        <v>46227</v>
      </c>
      <c r="D330" s="8">
        <v>8147</v>
      </c>
      <c r="E330" s="9">
        <v>9538.7250000000004</v>
      </c>
      <c r="F330" s="8">
        <v>7360</v>
      </c>
      <c r="G330" s="8">
        <v>5820</v>
      </c>
      <c r="H330" s="10">
        <f t="shared" si="21"/>
        <v>89046792.575000003</v>
      </c>
      <c r="I330" s="14">
        <f>VLOOKUP(C330,'Draw Data'!A:B,2,0)</f>
        <v>53140</v>
      </c>
      <c r="J330" s="10">
        <f t="shared" si="22"/>
        <v>1675.7017797327815</v>
      </c>
      <c r="K330" s="15">
        <f t="shared" si="23"/>
        <v>53.14</v>
      </c>
    </row>
    <row r="331" spans="2:11">
      <c r="B331" s="12">
        <f t="shared" si="20"/>
        <v>46204</v>
      </c>
      <c r="C331" s="7">
        <v>46228</v>
      </c>
      <c r="D331" s="8">
        <v>8440</v>
      </c>
      <c r="E331" s="9">
        <v>9080.8539999999994</v>
      </c>
      <c r="F331" s="8">
        <v>7370</v>
      </c>
      <c r="G331" s="8">
        <v>6040</v>
      </c>
      <c r="H331" s="10">
        <f t="shared" si="21"/>
        <v>88175007.75999999</v>
      </c>
      <c r="I331" s="14">
        <f>VLOOKUP(C331,'Draw Data'!A:B,2,0)</f>
        <v>51490</v>
      </c>
      <c r="J331" s="10">
        <f t="shared" si="22"/>
        <v>1712.4685911827537</v>
      </c>
      <c r="K331" s="15">
        <f t="shared" si="23"/>
        <v>51.49</v>
      </c>
    </row>
    <row r="332" spans="2:11">
      <c r="B332" s="12">
        <f t="shared" si="20"/>
        <v>46204</v>
      </c>
      <c r="C332" s="7">
        <v>46229</v>
      </c>
      <c r="D332" s="8">
        <v>8361</v>
      </c>
      <c r="E332" s="9">
        <v>9242.2090000000007</v>
      </c>
      <c r="F332" s="8">
        <v>7280</v>
      </c>
      <c r="G332" s="8">
        <v>5590</v>
      </c>
      <c r="H332" s="10">
        <f t="shared" si="21"/>
        <v>88342309.449000001</v>
      </c>
      <c r="I332" s="14">
        <f>VLOOKUP(C332,'Draw Data'!A:B,2,0)</f>
        <v>52012</v>
      </c>
      <c r="J332" s="10">
        <f t="shared" si="22"/>
        <v>1698.4986051103592</v>
      </c>
      <c r="K332" s="15">
        <f t="shared" si="23"/>
        <v>52.012</v>
      </c>
    </row>
    <row r="333" spans="2:11">
      <c r="B333" s="12">
        <f t="shared" si="20"/>
        <v>46204</v>
      </c>
      <c r="C333" s="7">
        <v>46230</v>
      </c>
      <c r="D333" s="8">
        <v>8387</v>
      </c>
      <c r="E333" s="9">
        <v>9135.6880000000001</v>
      </c>
      <c r="F333" s="8">
        <v>7360</v>
      </c>
      <c r="G333" s="8">
        <v>6480</v>
      </c>
      <c r="H333" s="10">
        <f t="shared" si="21"/>
        <v>88523415.255999997</v>
      </c>
      <c r="I333" s="14">
        <f>VLOOKUP(C333,'Draw Data'!A:B,2,0)</f>
        <v>53930</v>
      </c>
      <c r="J333" s="10">
        <f t="shared" si="22"/>
        <v>1641.4503106990542</v>
      </c>
      <c r="K333" s="15">
        <f t="shared" si="23"/>
        <v>53.93</v>
      </c>
    </row>
    <row r="334" spans="2:11">
      <c r="B334" s="12">
        <f t="shared" si="20"/>
        <v>46204</v>
      </c>
      <c r="C334" s="7">
        <v>46231</v>
      </c>
      <c r="D334" s="8">
        <v>8379</v>
      </c>
      <c r="E334" s="9">
        <v>9099.7029999999995</v>
      </c>
      <c r="F334" s="8">
        <v>7290</v>
      </c>
      <c r="G334" s="8">
        <v>6030</v>
      </c>
      <c r="H334" s="10">
        <f t="shared" si="21"/>
        <v>87701611.436999992</v>
      </c>
      <c r="I334" s="14">
        <f>VLOOKUP(C334,'Draw Data'!A:B,2,0)</f>
        <v>52271</v>
      </c>
      <c r="J334" s="10">
        <f t="shared" si="22"/>
        <v>1677.8253991123183</v>
      </c>
      <c r="K334" s="15">
        <f t="shared" si="23"/>
        <v>52.271000000000001</v>
      </c>
    </row>
    <row r="335" spans="2:11">
      <c r="B335" s="12">
        <f t="shared" si="20"/>
        <v>46204</v>
      </c>
      <c r="C335" s="7">
        <v>46232</v>
      </c>
      <c r="D335" s="8">
        <v>8217</v>
      </c>
      <c r="E335" s="9">
        <v>9326.8649999999998</v>
      </c>
      <c r="F335" s="8">
        <v>7320</v>
      </c>
      <c r="G335" s="8">
        <v>4860</v>
      </c>
      <c r="H335" s="10">
        <f t="shared" si="21"/>
        <v>87113649.704999998</v>
      </c>
      <c r="I335" s="14">
        <f>VLOOKUP(C335,'Draw Data'!A:B,2,0)</f>
        <v>49730</v>
      </c>
      <c r="J335" s="10">
        <f t="shared" si="22"/>
        <v>1751.7323487834306</v>
      </c>
      <c r="K335" s="15">
        <f t="shared" si="23"/>
        <v>49.73</v>
      </c>
    </row>
    <row r="336" spans="2:11">
      <c r="B336" s="12">
        <f t="shared" si="20"/>
        <v>46204</v>
      </c>
      <c r="C336" s="7">
        <v>46233</v>
      </c>
      <c r="D336" s="8">
        <v>8114</v>
      </c>
      <c r="E336" s="9">
        <v>9405.3080000000009</v>
      </c>
      <c r="F336" s="8">
        <v>7330</v>
      </c>
      <c r="G336" s="8">
        <v>5300</v>
      </c>
      <c r="H336" s="10">
        <f t="shared" si="21"/>
        <v>87176469.112000003</v>
      </c>
      <c r="I336" s="14">
        <f>VLOOKUP(C336,'Draw Data'!A:B,2,0)</f>
        <v>51780</v>
      </c>
      <c r="J336" s="10">
        <f t="shared" si="22"/>
        <v>1683.593455233681</v>
      </c>
      <c r="K336" s="15">
        <f t="shared" si="23"/>
        <v>51.78</v>
      </c>
    </row>
    <row r="337" spans="2:11">
      <c r="B337" s="12">
        <f t="shared" si="20"/>
        <v>46204</v>
      </c>
      <c r="C337" s="7">
        <v>46234</v>
      </c>
      <c r="D337" s="8">
        <v>8298</v>
      </c>
      <c r="E337" s="9">
        <v>9450.68</v>
      </c>
      <c r="F337" s="8">
        <v>7310</v>
      </c>
      <c r="G337" s="8">
        <v>7520</v>
      </c>
      <c r="H337" s="10">
        <f t="shared" si="21"/>
        <v>91175542.640000001</v>
      </c>
      <c r="I337" s="14">
        <f>VLOOKUP(C337,'Draw Data'!A:B,2,0)</f>
        <v>54762</v>
      </c>
      <c r="J337" s="10">
        <f t="shared" si="22"/>
        <v>1664.9417961360068</v>
      </c>
      <c r="K337" s="15">
        <f t="shared" si="23"/>
        <v>54.762</v>
      </c>
    </row>
    <row r="338" spans="2:11">
      <c r="C338" s="1"/>
      <c r="D338" s="2"/>
      <c r="E338" s="3"/>
      <c r="F338" s="2"/>
      <c r="G3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Sushilkumar Gaur</dc:creator>
  <cp:keywords/>
  <dc:description/>
  <cp:lastModifiedBy>Balaji Kesavan</cp:lastModifiedBy>
  <cp:revision/>
  <dcterms:created xsi:type="dcterms:W3CDTF">2026-08-04T02:48:26Z</dcterms:created>
  <dcterms:modified xsi:type="dcterms:W3CDTF">2026-08-27T11:09:48Z</dcterms:modified>
  <cp:category/>
  <cp:contentStatus/>
</cp:coreProperties>
</file>